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n Griffin\Desktop\My Work\"/>
    </mc:Choice>
  </mc:AlternateContent>
  <xr:revisionPtr revIDLastSave="0" documentId="13_ncr:1_{20B6FCA9-D124-41A5-AD0A-3C2C4858B310}" xr6:coauthVersionLast="47" xr6:coauthVersionMax="47" xr10:uidLastSave="{00000000-0000-0000-0000-000000000000}"/>
  <bookViews>
    <workbookView xWindow="-110" yWindow="-110" windowWidth="19420" windowHeight="10300" xr2:uid="{89249D9F-6F63-4C7D-A3E5-802DEDCA7745}"/>
  </bookViews>
  <sheets>
    <sheet name="DashBoard" sheetId="10" r:id="rId1"/>
    <sheet name="Raw_Data" sheetId="2" r:id="rId2"/>
    <sheet name="Clean Data" sheetId="3" r:id="rId3"/>
    <sheet name="Monthly_Summary" sheetId="4" r:id="rId4"/>
    <sheet name="Weekday_Analysis" sheetId="5" r:id="rId5"/>
    <sheet name="Calendar" sheetId="9" r:id="rId6"/>
    <sheet name="Table2" sheetId="7" r:id="rId7"/>
  </sheets>
  <definedNames>
    <definedName name="ExternalData_1" localSheetId="1" hidden="1">Raw_Data!$A$1:$C$258</definedName>
    <definedName name="ExternalData_2" localSheetId="5" hidden="1">'Calendar'!$A$1:$E$366</definedName>
    <definedName name="ExternalData_2" localSheetId="2" hidden="1">'Clean Data'!$A$1:$J$258</definedName>
    <definedName name="ExternalData_3" localSheetId="3" hidden="1">Monthly_Summary!$A$1:$E$13</definedName>
    <definedName name="ExternalData_4" localSheetId="4" hidden="1">Weekday_Analysis!$A$1:$E$6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3" l="1"/>
  <c r="L11" i="3"/>
  <c r="M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32DB71-0C23-4497-9843-1568C53ACF80}" keepAlive="1" name="Query - Calendar" description="Connection to the 'Calendar' query in the workbook." type="5" refreshedVersion="8" background="1" saveData="1">
    <dbPr connection="Provider=Microsoft.Mashup.OleDb.1;Data Source=$Workbook$;Location=Calendar;Extended Properties=&quot;&quot;" command="SELECT * FROM [Calendar]"/>
  </connection>
  <connection id="2" xr16:uid="{F76F78E7-6D50-4E44-8D93-C4B6C5CD0650}" keepAlive="1" name="Query - Clean Data" description="Connection to the 'Clean Data' query in the workbook." type="5" refreshedVersion="8" background="1" saveData="1">
    <dbPr connection="Provider=Microsoft.Mashup.OleDb.1;Data Source=$Workbook$;Location=&quot;Clean Data&quot;;Extended Properties=&quot;&quot;" command="SELECT * FROM [Clean Data]"/>
  </connection>
  <connection id="3" xr16:uid="{56732826-7264-4424-9267-5D3A0E7F09AC}" keepAlive="1" name="Query - Monthly_Summary" description="Connection to the 'Monthly_Summary' query in the workbook." type="5" refreshedVersion="8" background="1" saveData="1">
    <dbPr connection="Provider=Microsoft.Mashup.OleDb.1;Data Source=$Workbook$;Location=Monthly_Summary;Extended Properties=&quot;&quot;" command="SELECT * FROM [Monthly_Summary]"/>
  </connection>
  <connection id="4" xr16:uid="{98409A10-F46B-40AB-A8A2-3B46527551C5}" keepAlive="1" name="Query - Original Data" description="Connection to the 'Original Data' query in the workbook." type="5" refreshedVersion="8" background="1" saveData="1">
    <dbPr connection="Provider=Microsoft.Mashup.OleDb.1;Data Source=$Workbook$;Location=&quot;Original Data&quot;;Extended Properties=&quot;&quot;" command="SELECT * FROM [Original Data]"/>
  </connection>
  <connection id="5" xr16:uid="{7C1EBB78-2851-46E0-8C5E-4818759B8EF9}" keepAlive="1" name="Query - Weekday_Analysis" description="Connection to the 'Weekday_Analysis' query in the workbook." type="5" refreshedVersion="8" background="1" saveData="1">
    <dbPr connection="Provider=Microsoft.Mashup.OleDb.1;Data Source=$Workbook$;Location=Weekday_Analysis;Extended Properties=&quot;&quot;" command="SELECT * FROM [Weekday_Analysis]"/>
  </connection>
</connections>
</file>

<file path=xl/sharedStrings.xml><?xml version="1.0" encoding="utf-8"?>
<sst xmlns="http://schemas.openxmlformats.org/spreadsheetml/2006/main" count="1581" uniqueCount="52">
  <si>
    <t>DATE</t>
  </si>
  <si>
    <t>SALES</t>
  </si>
  <si>
    <t>EXPENSES</t>
  </si>
  <si>
    <t>Sales</t>
  </si>
  <si>
    <t>Expenses</t>
  </si>
  <si>
    <t>Profit</t>
  </si>
  <si>
    <t>Profit_Margin</t>
  </si>
  <si>
    <t>Day_Name</t>
  </si>
  <si>
    <t>Month_Name</t>
  </si>
  <si>
    <t>Quarter</t>
  </si>
  <si>
    <t>Week of Year</t>
  </si>
  <si>
    <t>Index</t>
  </si>
  <si>
    <t>Thursday</t>
  </si>
  <si>
    <t>January</t>
  </si>
  <si>
    <t>Q1</t>
  </si>
  <si>
    <t>Friday</t>
  </si>
  <si>
    <t>Monday</t>
  </si>
  <si>
    <t>Tuesday</t>
  </si>
  <si>
    <t>Wednesday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</si>
  <si>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</si>
  <si>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</si>
  <si>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</si>
  <si>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</si>
  <si>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</si>
  <si>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</si>
  <si>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</si>
  <si>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</si>
  <si>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</si>
  <si>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</si>
  <si>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</si>
  <si>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</si>
  <si>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</si>
  <si>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</si>
  <si>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Total Sales</t>
  </si>
  <si>
    <t>Total Expenses</t>
  </si>
  <si>
    <t>Total Profit</t>
  </si>
  <si>
    <t>Average Sales</t>
  </si>
  <si>
    <t>Total_Sales</t>
  </si>
  <si>
    <t>Total_Profit</t>
  </si>
  <si>
    <t>Total_Expenses</t>
  </si>
  <si>
    <t>Average_Profit</t>
  </si>
  <si>
    <t>Date</t>
  </si>
  <si>
    <t>Month</t>
  </si>
  <si>
    <t>Month Name</t>
  </si>
  <si>
    <t>Quarter_Name</t>
  </si>
  <si>
    <t>Row Labels</t>
  </si>
  <si>
    <t>Grand Total</t>
  </si>
  <si>
    <t>Sum of Total Sales</t>
  </si>
  <si>
    <t>Sum of Total Profit</t>
  </si>
  <si>
    <t>Sum of Total_Profit</t>
  </si>
  <si>
    <t>Sum of Total_Sales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</si>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</sst>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13">
    <dxf>
      <numFmt numFmtId="0" formatCode="General"/>
    </dxf>
    <dxf>
      <numFmt numFmtId="19" formatCode="yyyy/mm/dd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(Excel).xlsx]Monthly_Summary!PivotTable4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2"/>
                </a:solidFill>
              </a:rPr>
              <a:t>Distribution</a:t>
            </a:r>
            <a:r>
              <a:rPr lang="en-US" sz="1200" b="1" baseline="0">
                <a:solidFill>
                  <a:schemeClr val="accent2"/>
                </a:solidFill>
              </a:rPr>
              <a:t> by Month</a:t>
            </a:r>
            <a:endParaRPr lang="en-US" sz="1200" b="1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0.30379924636350131"/>
          <c:y val="4.36137071651090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152361529422884"/>
          <c:y val="0.23805084745762717"/>
          <c:w val="0.82722086411582774"/>
          <c:h val="0.37840451087681837"/>
        </c:manualLayout>
      </c:layout>
      <c:lineChart>
        <c:grouping val="standard"/>
        <c:varyColors val="0"/>
        <c:ser>
          <c:idx val="1"/>
          <c:order val="0"/>
          <c:tx>
            <c:strRef>
              <c:f>Monthly_Summary!$L$15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Monthly_Summary!$K$16:$K$28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Monthly_Summary!$L$16:$L$28</c:f>
              <c:numCache>
                <c:formatCode>General</c:formatCode>
                <c:ptCount val="12"/>
                <c:pt idx="0">
                  <c:v>277365</c:v>
                </c:pt>
                <c:pt idx="1">
                  <c:v>256025.5</c:v>
                </c:pt>
                <c:pt idx="2">
                  <c:v>278816</c:v>
                </c:pt>
                <c:pt idx="3">
                  <c:v>307701</c:v>
                </c:pt>
                <c:pt idx="4">
                  <c:v>341818</c:v>
                </c:pt>
                <c:pt idx="5">
                  <c:v>313887.5</c:v>
                </c:pt>
                <c:pt idx="6">
                  <c:v>327259</c:v>
                </c:pt>
                <c:pt idx="7">
                  <c:v>346802.5</c:v>
                </c:pt>
                <c:pt idx="8">
                  <c:v>318170</c:v>
                </c:pt>
                <c:pt idx="9">
                  <c:v>364610</c:v>
                </c:pt>
                <c:pt idx="10">
                  <c:v>365721</c:v>
                </c:pt>
                <c:pt idx="11">
                  <c:v>342023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CE-4FBD-B8BC-5F1A30C65800}"/>
            </c:ext>
          </c:extLst>
        </c:ser>
        <c:ser>
          <c:idx val="0"/>
          <c:order val="1"/>
          <c:tx>
            <c:strRef>
              <c:f>Monthly_Summary!$M$15</c:f>
              <c:strCache>
                <c:ptCount val="1"/>
                <c:pt idx="0">
                  <c:v>Sum of Total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Monthly_Summary!$K$16:$K$28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Monthly_Summary!$M$16:$M$28</c:f>
              <c:numCache>
                <c:formatCode>General</c:formatCode>
                <c:ptCount val="12"/>
                <c:pt idx="0">
                  <c:v>252992.27000000002</c:v>
                </c:pt>
                <c:pt idx="1">
                  <c:v>230796.77000000002</c:v>
                </c:pt>
                <c:pt idx="2">
                  <c:v>258586.5</c:v>
                </c:pt>
                <c:pt idx="3">
                  <c:v>283200.09999999998</c:v>
                </c:pt>
                <c:pt idx="4">
                  <c:v>312188.67000000004</c:v>
                </c:pt>
                <c:pt idx="5">
                  <c:v>297293.90000000002</c:v>
                </c:pt>
                <c:pt idx="6">
                  <c:v>306868.3</c:v>
                </c:pt>
                <c:pt idx="7">
                  <c:v>324224.2</c:v>
                </c:pt>
                <c:pt idx="8">
                  <c:v>301060.7</c:v>
                </c:pt>
                <c:pt idx="9">
                  <c:v>344474.9</c:v>
                </c:pt>
                <c:pt idx="10">
                  <c:v>344284.4</c:v>
                </c:pt>
                <c:pt idx="11">
                  <c:v>324143.09999999998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79-4056-9FCF-BBE53D58D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133855"/>
        <c:axId val="1493136735"/>
      </c:lineChart>
      <c:catAx>
        <c:axId val="1493133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36735"/>
        <c:crosses val="autoZero"/>
        <c:auto val="1"/>
        <c:lblAlgn val="ctr"/>
        <c:lblOffset val="100"/>
        <c:noMultiLvlLbl val="0"/>
      </c:catAx>
      <c:valAx>
        <c:axId val="1493136735"/>
        <c:scaling>
          <c:orientation val="minMax"/>
        </c:scaling>
        <c:delete val="0"/>
        <c:axPos val="l"/>
        <c:numFmt formatCode="&quot;$&quot;#,##0,\ 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3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(Excel).xlsx]Weekday_Analysis!PivotTable5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2"/>
                </a:solidFill>
              </a:rPr>
              <a:t>Distribution</a:t>
            </a:r>
            <a:r>
              <a:rPr lang="en-US" sz="1200" b="1" baseline="0">
                <a:solidFill>
                  <a:schemeClr val="accent2"/>
                </a:solidFill>
              </a:rPr>
              <a:t> by Day</a:t>
            </a:r>
            <a:endParaRPr lang="en-US" sz="1200" b="1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79554467303651"/>
          <c:y val="0.3015209125475285"/>
          <c:w val="0.40688868526411442"/>
          <c:h val="0.56069758390467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Weekday_Analysis!$D$8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Weekday_Analysis!$C$9:$C$14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Weekday_Analysis!$D$9:$D$14</c:f>
              <c:numCache>
                <c:formatCode>"$"#,##0.00</c:formatCode>
                <c:ptCount val="5"/>
                <c:pt idx="0">
                  <c:v>858128</c:v>
                </c:pt>
                <c:pt idx="1">
                  <c:v>708963</c:v>
                </c:pt>
                <c:pt idx="2">
                  <c:v>712687</c:v>
                </c:pt>
                <c:pt idx="3">
                  <c:v>653104.5</c:v>
                </c:pt>
                <c:pt idx="4">
                  <c:v>907316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8-49A4-BD17-C05528BDB70B}"/>
            </c:ext>
          </c:extLst>
        </c:ser>
        <c:ser>
          <c:idx val="1"/>
          <c:order val="1"/>
          <c:tx>
            <c:strRef>
              <c:f>Weekday_Analysis!$E$8</c:f>
              <c:strCache>
                <c:ptCount val="1"/>
                <c:pt idx="0">
                  <c:v>Sum of Total_Profit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Weekday_Analysis!$C$9:$C$14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Weekday_Analysis!$E$9:$E$14</c:f>
              <c:numCache>
                <c:formatCode>"$"#,##0.00</c:formatCode>
                <c:ptCount val="5"/>
                <c:pt idx="0">
                  <c:v>813169</c:v>
                </c:pt>
                <c:pt idx="1">
                  <c:v>663414.87000000011</c:v>
                </c:pt>
                <c:pt idx="2">
                  <c:v>665255.4</c:v>
                </c:pt>
                <c:pt idx="3">
                  <c:v>592978.93999999994</c:v>
                </c:pt>
                <c:pt idx="4">
                  <c:v>845295.6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348-49A4-BD17-C05528BDB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3151135"/>
        <c:axId val="1493140575"/>
      </c:barChart>
      <c:catAx>
        <c:axId val="149315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40575"/>
        <c:crosses val="autoZero"/>
        <c:auto val="1"/>
        <c:lblAlgn val="ctr"/>
        <c:lblOffset val="100"/>
        <c:noMultiLvlLbl val="0"/>
      </c:catAx>
      <c:valAx>
        <c:axId val="1493140575"/>
        <c:scaling>
          <c:orientation val="minMax"/>
        </c:scaling>
        <c:delete val="0"/>
        <c:axPos val="b"/>
        <c:numFmt formatCode="&quot;$&quot;#,##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5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 Dashboard (Excel).xlsx]Clean Data!PivotTable1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2"/>
                </a:solidFill>
              </a:rPr>
              <a:t>Sales Distribution by Quarter</a:t>
            </a:r>
          </a:p>
        </c:rich>
      </c:tx>
      <c:layout>
        <c:manualLayout>
          <c:xMode val="edge"/>
          <c:yMode val="edge"/>
          <c:x val="0.1346745090598615"/>
          <c:y val="3.8919377502054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tint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616822429906541"/>
              <c:y val="0.176829268292682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tint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95327102803739"/>
              <c:y val="-7.9268292682926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shade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82242990654206"/>
              <c:y val="-0.201219512195121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shade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887850467289719"/>
              <c:y val="0.109756097560975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'Clean Data'!$O$18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46-43B5-9DD5-B03212D71280}"/>
              </c:ext>
            </c:extLst>
          </c:dPt>
          <c:dPt>
            <c:idx val="1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46-43B5-9DD5-B03212D71280}"/>
              </c:ext>
            </c:extLst>
          </c:dPt>
          <c:dPt>
            <c:idx val="2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46-43B5-9DD5-B03212D71280}"/>
              </c:ext>
            </c:extLst>
          </c:dPt>
          <c:dPt>
            <c:idx val="3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46-43B5-9DD5-B03212D71280}"/>
              </c:ext>
            </c:extLst>
          </c:dPt>
          <c:dLbls>
            <c:dLbl>
              <c:idx val="0"/>
              <c:layout>
                <c:manualLayout>
                  <c:x val="-0.12616822429906541"/>
                  <c:y val="0.1768292682926829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46-43B5-9DD5-B03212D71280}"/>
                </c:ext>
              </c:extLst>
            </c:dLbl>
            <c:dLbl>
              <c:idx val="1"/>
              <c:layout>
                <c:manualLayout>
                  <c:x val="-0.1495327102803739"/>
                  <c:y val="-7.92682926829268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46-43B5-9DD5-B03212D71280}"/>
                </c:ext>
              </c:extLst>
            </c:dLbl>
            <c:dLbl>
              <c:idx val="2"/>
              <c:layout>
                <c:manualLayout>
                  <c:x val="0.11682242990654206"/>
                  <c:y val="-0.2012195121951219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46-43B5-9DD5-B03212D71280}"/>
                </c:ext>
              </c:extLst>
            </c:dLbl>
            <c:dLbl>
              <c:idx val="3"/>
              <c:layout>
                <c:manualLayout>
                  <c:x val="0.15887850467289719"/>
                  <c:y val="0.1097560975609755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46-43B5-9DD5-B03212D712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'Clean Data'!$N$19:$N$23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'Clean Data'!$O$19:$O$23</c:f>
              <c:numCache>
                <c:formatCode>General</c:formatCode>
                <c:ptCount val="4"/>
                <c:pt idx="0">
                  <c:v>812206.5</c:v>
                </c:pt>
                <c:pt idx="1">
                  <c:v>963406.5</c:v>
                </c:pt>
                <c:pt idx="2">
                  <c:v>992231.5</c:v>
                </c:pt>
                <c:pt idx="3">
                  <c:v>1072354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46-43B5-9DD5-B03212D7128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539750</xdr:colOff>
      <xdr:row>24</xdr:row>
      <xdr:rowOff>177800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2066B0E-8625-037A-3FEF-B6A24422471E}"/>
            </a:ext>
          </a:extLst>
        </xdr:cNvPr>
        <xdr:cNvSpPr/>
      </xdr:nvSpPr>
      <xdr:spPr>
        <a:xfrm>
          <a:off x="0" y="0"/>
          <a:ext cx="7854950" cy="4597400"/>
        </a:xfrm>
        <a:prstGeom prst="rect">
          <a:avLst/>
        </a:prstGeom>
        <a:solidFill>
          <a:schemeClr val="bg2"/>
        </a:solidFill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2</xdr:col>
      <xdr:colOff>38100</xdr:colOff>
      <xdr:row>1</xdr:row>
      <xdr:rowOff>12700</xdr:rowOff>
    </xdr:from>
    <xdr:to>
      <xdr:col>8</xdr:col>
      <xdr:colOff>330200</xdr:colOff>
      <xdr:row>13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AA8D06-09E4-49C3-8086-49C255B39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12700</xdr:colOff>
      <xdr:row>13</xdr:row>
      <xdr:rowOff>72571</xdr:rowOff>
    </xdr:from>
    <xdr:to>
      <xdr:col>8</xdr:col>
      <xdr:colOff>311150</xdr:colOff>
      <xdr:row>24</xdr:row>
      <xdr:rowOff>136071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4BDC28-E8B0-4D45-99CD-0809DCC84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323850</xdr:colOff>
      <xdr:row>13</xdr:row>
      <xdr:rowOff>57150</xdr:rowOff>
    </xdr:from>
    <xdr:to>
      <xdr:col>12</xdr:col>
      <xdr:colOff>603250</xdr:colOff>
      <xdr:row>24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F2D1ED-28A6-4625-ABB6-ADF0DE036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81643</xdr:colOff>
      <xdr:row>0</xdr:row>
      <xdr:rowOff>38100</xdr:rowOff>
    </xdr:from>
    <xdr:to>
      <xdr:col>1</xdr:col>
      <xdr:colOff>532504</xdr:colOff>
      <xdr:row>24</xdr:row>
      <xdr:rowOff>80304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5DBCF69E-C044-4413-5352-FB17E26C65AB}"/>
            </a:ext>
          </a:extLst>
        </xdr:cNvPr>
        <xdr:cNvGrpSpPr/>
      </xdr:nvGrpSpPr>
      <xdr:grpSpPr>
        <a:xfrm>
          <a:off x="81643" y="38100"/>
          <a:ext cx="1058647" cy="4396490"/>
          <a:chOff x="81598" y="38100"/>
          <a:chExt cx="1060450" cy="4461489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CD32AC0C-E566-D6B9-FB0C-F4E3AA993A6F}"/>
              </a:ext>
            </a:extLst>
          </xdr:cNvPr>
          <xdr:cNvSpPr/>
        </xdr:nvSpPr>
        <xdr:spPr>
          <a:xfrm>
            <a:off x="81598" y="38100"/>
            <a:ext cx="1054101" cy="698500"/>
          </a:xfrm>
          <a:prstGeom prst="rect">
            <a:avLst/>
          </a:prstGeom>
          <a:effectLst>
            <a:glow rad="127000">
              <a:schemeClr val="accent1">
                <a:alpha val="75000"/>
              </a:schemeClr>
            </a:glow>
          </a:effectLst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400" b="1">
                <a:solidFill>
                  <a:schemeClr val="accent2"/>
                </a:solidFill>
              </a:rPr>
              <a:t>#Sales</a:t>
            </a:r>
          </a:p>
          <a:p>
            <a:pPr algn="ctr"/>
            <a:r>
              <a:rPr lang="en-US" sz="1800" b="1"/>
              <a:t>3.8M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3D5352AA-7CC4-4DB2-A66F-FDDC754143E7}"/>
              </a:ext>
            </a:extLst>
          </xdr:cNvPr>
          <xdr:cNvSpPr/>
        </xdr:nvSpPr>
        <xdr:spPr>
          <a:xfrm>
            <a:off x="81598" y="3803650"/>
            <a:ext cx="1053352" cy="695939"/>
          </a:xfrm>
          <a:prstGeom prst="rect">
            <a:avLst/>
          </a:prstGeom>
          <a:effectLst>
            <a:glow rad="127000">
              <a:schemeClr val="accent1">
                <a:alpha val="75000"/>
              </a:schemeClr>
            </a:glow>
          </a:effectLst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accent2"/>
                </a:solidFill>
              </a:rPr>
              <a:t>#BestDay</a:t>
            </a:r>
          </a:p>
          <a:p>
            <a:pPr algn="l"/>
            <a:r>
              <a:rPr lang="en-US" sz="1600" b="1">
                <a:solidFill>
                  <a:schemeClr val="bg1"/>
                </a:solidFill>
              </a:rPr>
              <a:t>FRIDAY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F27CB9DC-9C52-4F80-AC4F-7ABC96C3D208}"/>
              </a:ext>
            </a:extLst>
          </xdr:cNvPr>
          <xdr:cNvSpPr/>
        </xdr:nvSpPr>
        <xdr:spPr>
          <a:xfrm>
            <a:off x="81598" y="2844800"/>
            <a:ext cx="1053351" cy="692150"/>
          </a:xfrm>
          <a:prstGeom prst="rect">
            <a:avLst/>
          </a:prstGeom>
          <a:effectLst>
            <a:glow rad="127000">
              <a:schemeClr val="accent1">
                <a:alpha val="75000"/>
              </a:schemeClr>
            </a:glow>
          </a:effectLst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accent2"/>
                </a:solidFill>
              </a:rPr>
              <a:t>BestMonth</a:t>
            </a:r>
          </a:p>
          <a:p>
            <a:pPr algn="l"/>
            <a:r>
              <a:rPr lang="en-US" sz="1400" b="1">
                <a:solidFill>
                  <a:schemeClr val="bg1"/>
                </a:solidFill>
              </a:rPr>
              <a:t>NOVEMBER</a:t>
            </a: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FE8F86C0-772C-4F0D-985D-8F180C87EEC0}"/>
              </a:ext>
            </a:extLst>
          </xdr:cNvPr>
          <xdr:cNvSpPr/>
        </xdr:nvSpPr>
        <xdr:spPr>
          <a:xfrm>
            <a:off x="81598" y="958849"/>
            <a:ext cx="1053351" cy="695939"/>
          </a:xfrm>
          <a:prstGeom prst="rect">
            <a:avLst/>
          </a:prstGeom>
          <a:effectLst>
            <a:glow rad="127000">
              <a:schemeClr val="accent1">
                <a:alpha val="75000"/>
              </a:schemeClr>
            </a:glow>
          </a:effectLst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400" b="1">
                <a:solidFill>
                  <a:schemeClr val="accent2"/>
                </a:solidFill>
              </a:rPr>
              <a:t>#Expenses</a:t>
            </a:r>
          </a:p>
          <a:p>
            <a:pPr algn="ctr"/>
            <a:r>
              <a:rPr lang="en-US" sz="1800" b="1">
                <a:solidFill>
                  <a:schemeClr val="bg1"/>
                </a:solidFill>
              </a:rPr>
              <a:t>260.1K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8601E7DB-873A-4C53-AEBF-559AECCB6D0A}"/>
              </a:ext>
            </a:extLst>
          </xdr:cNvPr>
          <xdr:cNvSpPr/>
        </xdr:nvSpPr>
        <xdr:spPr>
          <a:xfrm>
            <a:off x="81598" y="1924050"/>
            <a:ext cx="1060450" cy="660400"/>
          </a:xfrm>
          <a:prstGeom prst="rect">
            <a:avLst/>
          </a:prstGeom>
          <a:effectLst>
            <a:glow rad="127000">
              <a:schemeClr val="accent1">
                <a:alpha val="75000"/>
              </a:schemeClr>
            </a:glow>
          </a:effectLst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400" b="1">
                <a:solidFill>
                  <a:schemeClr val="accent2"/>
                </a:solidFill>
              </a:rPr>
              <a:t>#Profit</a:t>
            </a:r>
          </a:p>
          <a:p>
            <a:pPr algn="ctr"/>
            <a:r>
              <a:rPr lang="en-US" sz="1800" b="1">
                <a:solidFill>
                  <a:schemeClr val="bg1"/>
                </a:solidFill>
              </a:rPr>
              <a:t>3.6M</a:t>
            </a:r>
          </a:p>
        </xdr:txBody>
      </xdr:sp>
    </xdr:grpSp>
    <xdr:clientData/>
  </xdr:twoCellAnchor>
  <xdr:twoCellAnchor>
    <xdr:from>
      <xdr:col>1</xdr:col>
      <xdr:colOff>603250</xdr:colOff>
      <xdr:row>0</xdr:row>
      <xdr:rowOff>6350</xdr:rowOff>
    </xdr:from>
    <xdr:to>
      <xdr:col>8</xdr:col>
      <xdr:colOff>317500</xdr:colOff>
      <xdr:row>1</xdr:row>
      <xdr:rowOff>127000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A77F8B74-BA22-2916-72C7-6C57A0CBF790}"/>
            </a:ext>
          </a:extLst>
        </xdr:cNvPr>
        <xdr:cNvSpPr/>
      </xdr:nvSpPr>
      <xdr:spPr>
        <a:xfrm>
          <a:off x="1212850" y="6350"/>
          <a:ext cx="3981450" cy="304800"/>
        </a:xfrm>
        <a:prstGeom prst="roundRect">
          <a:avLst/>
        </a:prstGeom>
        <a:solidFill>
          <a:schemeClr val="accent1"/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SALES DASHBOARD FOR 2025</a:t>
          </a:r>
        </a:p>
      </xdr:txBody>
    </xdr:sp>
    <xdr:clientData/>
  </xdr:twoCellAnchor>
  <xdr:twoCellAnchor>
    <xdr:from>
      <xdr:col>8</xdr:col>
      <xdr:colOff>342900</xdr:colOff>
      <xdr:row>0</xdr:row>
      <xdr:rowOff>0</xdr:rowOff>
    </xdr:from>
    <xdr:to>
      <xdr:col>12</xdr:col>
      <xdr:colOff>596900</xdr:colOff>
      <xdr:row>13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140090E6-B9A5-7CE0-1708-74D6C1D5AD1B}"/>
            </a:ext>
          </a:extLst>
        </xdr:cNvPr>
        <xdr:cNvSpPr/>
      </xdr:nvSpPr>
      <xdr:spPr>
        <a:xfrm>
          <a:off x="5219700" y="0"/>
          <a:ext cx="2692400" cy="243205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1100" b="1" i="0" u="none">
            <a:solidFill>
              <a:schemeClr val="accent2"/>
            </a:solidFill>
          </a:endParaRPr>
        </a:p>
        <a:p>
          <a:pPr algn="ctr"/>
          <a:r>
            <a:rPr lang="en-US" sz="1100" b="1" i="0" u="none">
              <a:solidFill>
                <a:schemeClr val="accent2"/>
              </a:solidFill>
            </a:rPr>
            <a:t>RECOMMENDATIONS</a:t>
          </a:r>
        </a:p>
        <a:p>
          <a:pPr algn="ctr"/>
          <a:endParaRPr lang="en-US" sz="1100" b="1" i="0" u="none" baseline="0">
            <a:solidFill>
              <a:schemeClr val="accent2"/>
            </a:solidFill>
          </a:endParaRPr>
        </a:p>
        <a:p>
          <a:pPr lvl="0" algn="l"/>
          <a:r>
            <a:rPr lang="en-US" sz="1100" b="0" i="0" u="none" baseline="0">
              <a:solidFill>
                <a:schemeClr val="accent1"/>
              </a:solidFill>
            </a:rPr>
            <a:t>    </a:t>
          </a:r>
          <a:r>
            <a:rPr lang="en-US" sz="1100" b="1" i="0" u="none" baseline="0">
              <a:solidFill>
                <a:schemeClr val="accent1"/>
              </a:solidFill>
            </a:rPr>
            <a:t>Targeted campaigns should be introduced in the first quarter of the year.</a:t>
          </a:r>
        </a:p>
        <a:p>
          <a:pPr lvl="0" algn="l"/>
          <a:endParaRPr lang="en-US" sz="1100" b="1" i="0" u="none" baseline="0">
            <a:solidFill>
              <a:schemeClr val="accent1"/>
            </a:solidFill>
          </a:endParaRPr>
        </a:p>
        <a:p>
          <a:pPr lvl="0" algn="l"/>
          <a:r>
            <a:rPr lang="en-US" sz="1100" b="1" i="0" u="none" baseline="0">
              <a:solidFill>
                <a:schemeClr val="accent1"/>
              </a:solidFill>
            </a:rPr>
            <a:t>   Effective current expense control, continue monitoring expense-to-sales ratio monthly. </a:t>
          </a:r>
        </a:p>
        <a:p>
          <a:pPr lvl="0" algn="l"/>
          <a:endParaRPr lang="en-US" sz="1100" b="1" i="0" u="none" baseline="0">
            <a:solidFill>
              <a:schemeClr val="accent1"/>
            </a:solidFill>
          </a:endParaRPr>
        </a:p>
        <a:p>
          <a:pPr lvl="0" algn="l"/>
          <a:r>
            <a:rPr lang="en-US" sz="1100" b="1" i="0" u="none" baseline="0">
              <a:solidFill>
                <a:schemeClr val="accent1"/>
              </a:solidFill>
            </a:rPr>
            <a:t>  Align staffing with demand: maximize Friday and Monday capacities and streamline Thursday resources.</a:t>
          </a:r>
          <a:endParaRPr lang="en-US" sz="1400" b="1">
            <a:solidFill>
              <a:schemeClr val="bg1"/>
            </a:solidFill>
          </a:endParaRPr>
        </a:p>
        <a:p>
          <a:pPr algn="l"/>
          <a:r>
            <a:rPr lang="en-US" sz="1400" b="1">
              <a:solidFill>
                <a:schemeClr val="bg1"/>
              </a:solidFill>
            </a:rPr>
            <a:t>      IIU</a:t>
          </a:r>
        </a:p>
        <a:p>
          <a:pPr algn="l"/>
          <a:r>
            <a:rPr lang="en-US" sz="1400" b="1">
              <a:solidFill>
                <a:schemeClr val="bg1"/>
              </a:solidFill>
            </a:rPr>
            <a:t>   a</a:t>
          </a:r>
          <a:endParaRPr lang="en-US" sz="1400" b="1">
            <a:solidFill>
              <a:schemeClr val="accent2"/>
            </a:solidFill>
          </a:endParaRPr>
        </a:p>
        <a:p>
          <a:pPr algn="l"/>
          <a:r>
            <a:rPr lang="en-US" sz="1400" b="1">
              <a:solidFill>
                <a:schemeClr val="bg1"/>
              </a:solidFill>
            </a:rPr>
            <a:t>       YTUII</a:t>
          </a:r>
        </a:p>
        <a:p>
          <a:pPr algn="l"/>
          <a:endParaRPr lang="en-US" sz="1400" b="1">
            <a:solidFill>
              <a:schemeClr val="bg1"/>
            </a:solidFill>
          </a:endParaRPr>
        </a:p>
        <a:p>
          <a:pPr algn="l"/>
          <a:r>
            <a:rPr lang="en-US" sz="1400" b="1">
              <a:solidFill>
                <a:schemeClr val="bg1"/>
              </a:solidFill>
            </a:rPr>
            <a:t>      </a:t>
          </a:r>
        </a:p>
      </xdr:txBody>
    </xdr:sp>
    <xdr:clientData/>
  </xdr:twoCellAnchor>
  <xdr:twoCellAnchor>
    <xdr:from>
      <xdr:col>8</xdr:col>
      <xdr:colOff>400050</xdr:colOff>
      <xdr:row>3</xdr:row>
      <xdr:rowOff>25400</xdr:rowOff>
    </xdr:from>
    <xdr:to>
      <xdr:col>8</xdr:col>
      <xdr:colOff>469900</xdr:colOff>
      <xdr:row>3</xdr:row>
      <xdr:rowOff>133350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ADBDC14E-A2E8-43DC-090B-096AC6C1A3AA}"/>
            </a:ext>
          </a:extLst>
        </xdr:cNvPr>
        <xdr:cNvSpPr/>
      </xdr:nvSpPr>
      <xdr:spPr>
        <a:xfrm>
          <a:off x="5276850" y="577850"/>
          <a:ext cx="69850" cy="107950"/>
        </a:xfrm>
        <a:prstGeom prst="diamond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400050</xdr:colOff>
      <xdr:row>6</xdr:row>
      <xdr:rowOff>0</xdr:rowOff>
    </xdr:from>
    <xdr:to>
      <xdr:col>8</xdr:col>
      <xdr:colOff>469900</xdr:colOff>
      <xdr:row>6</xdr:row>
      <xdr:rowOff>107950</xdr:rowOff>
    </xdr:to>
    <xdr:sp macro="" textlink="">
      <xdr:nvSpPr>
        <xdr:cNvPr id="11" name="Diamond 10">
          <a:extLst>
            <a:ext uri="{FF2B5EF4-FFF2-40B4-BE49-F238E27FC236}">
              <a16:creationId xmlns:a16="http://schemas.microsoft.com/office/drawing/2014/main" id="{895EB1C7-8660-411D-9F6F-2D5C8E547859}"/>
            </a:ext>
          </a:extLst>
        </xdr:cNvPr>
        <xdr:cNvSpPr/>
      </xdr:nvSpPr>
      <xdr:spPr>
        <a:xfrm>
          <a:off x="5276850" y="1104900"/>
          <a:ext cx="69850" cy="107950"/>
        </a:xfrm>
        <a:prstGeom prst="diamond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375556</xdr:colOff>
      <xdr:row>9</xdr:row>
      <xdr:rowOff>154214</xdr:rowOff>
    </xdr:from>
    <xdr:to>
      <xdr:col>8</xdr:col>
      <xdr:colOff>445406</xdr:colOff>
      <xdr:row>10</xdr:row>
      <xdr:rowOff>80735</xdr:rowOff>
    </xdr:to>
    <xdr:sp macro="" textlink="">
      <xdr:nvSpPr>
        <xdr:cNvPr id="12" name="Diamond 11">
          <a:extLst>
            <a:ext uri="{FF2B5EF4-FFF2-40B4-BE49-F238E27FC236}">
              <a16:creationId xmlns:a16="http://schemas.microsoft.com/office/drawing/2014/main" id="{5C0F8538-F333-46DA-9924-8C7F6B1AC8F3}"/>
            </a:ext>
          </a:extLst>
        </xdr:cNvPr>
        <xdr:cNvSpPr/>
      </xdr:nvSpPr>
      <xdr:spPr>
        <a:xfrm>
          <a:off x="5237842" y="1787071"/>
          <a:ext cx="69850" cy="107950"/>
        </a:xfrm>
        <a:prstGeom prst="diamond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 Griffin" refreshedDate="46162.960348726854" createdVersion="8" refreshedVersion="8" minRefreshableVersion="3" recordCount="12" xr:uid="{BB52DE60-6A2D-4F76-8FE3-95D018141B37}">
  <cacheSource type="worksheet">
    <worksheetSource name="Monthly_Summary"/>
  </cacheSource>
  <cacheFields count="6">
    <cacheField name="Month_Name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Total Sales" numFmtId="0">
      <sharedItems containsSemiMixedTypes="0" containsString="0" containsNumber="1" minValue="256025.5" maxValue="365721" count="12">
        <n v="277365"/>
        <n v="256025.5"/>
        <n v="278816"/>
        <n v="307701"/>
        <n v="341818"/>
        <n v="313887.5"/>
        <n v="327259"/>
        <n v="346802.5"/>
        <n v="318170"/>
        <n v="364610"/>
        <n v="365721"/>
        <n v="342023"/>
      </sharedItems>
    </cacheField>
    <cacheField name="Total Expenses" numFmtId="0">
      <sharedItems containsSemiMixedTypes="0" containsString="0" containsNumber="1" minValue="16593.599999999999" maxValue="29629.33"/>
    </cacheField>
    <cacheField name="Total Profit" numFmtId="0">
      <sharedItems containsSemiMixedTypes="0" containsString="0" containsNumber="1" minValue="230796.77000000002" maxValue="344474.9" count="12">
        <n v="252992.27000000002"/>
        <n v="230796.77000000002"/>
        <n v="258586.5"/>
        <n v="283200.09999999998"/>
        <n v="312188.67000000004"/>
        <n v="297293.90000000002"/>
        <n v="306868.3"/>
        <n v="324224.2"/>
        <n v="301060.7"/>
        <n v="344474.9"/>
        <n v="344284.4"/>
        <n v="324143.09999999998"/>
      </sharedItems>
    </cacheField>
    <cacheField name="Average Sales" numFmtId="0">
      <sharedItems containsSemiMixedTypes="0" containsString="0" containsNumber="1" minValue="12607.5" maxValue="18286.05"/>
    </cacheField>
    <cacheField name="Chart_Profit_Margin" numFmtId="0" formula="'Total Profit'/'Total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 Griffin" refreshedDate="46162.967943750002" createdVersion="8" refreshedVersion="8" minRefreshableVersion="3" recordCount="5" xr:uid="{451C6E7F-5C61-4F17-ADCD-6C3236F9A2C4}">
  <cacheSource type="worksheet">
    <worksheetSource name="Weekday_Analysis"/>
  </cacheSource>
  <cacheFields count="5">
    <cacheField name="Day_Name" numFmtId="0">
      <sharedItems count="5">
        <s v="Friday"/>
        <s v="Monday"/>
        <s v="Thursday"/>
        <s v="Tuesday"/>
        <s v="Wednesday"/>
      </sharedItems>
    </cacheField>
    <cacheField name="Total_Sales" numFmtId="164">
      <sharedItems containsSemiMixedTypes="0" containsString="0" containsNumber="1" minValue="653104.5" maxValue="907316"/>
    </cacheField>
    <cacheField name="Total_Profit" numFmtId="164">
      <sharedItems containsSemiMixedTypes="0" containsString="0" containsNumber="1" minValue="592978.93999999994" maxValue="845295.6" count="5">
        <n v="845295.6"/>
        <n v="813169"/>
        <n v="592978.93999999994"/>
        <n v="663414.87000000011"/>
        <n v="665255.4"/>
      </sharedItems>
    </cacheField>
    <cacheField name="Total_Expenses" numFmtId="164">
      <sharedItems containsSemiMixedTypes="0" containsString="0" containsNumber="1" minValue="44959" maxValue="62020.4"/>
    </cacheField>
    <cacheField name="Average_Profit" numFmtId="164">
      <sharedItems containsSemiMixedTypes="0" containsString="0" containsNumber="1" minValue="11627.038039215686" maxValue="16574.4235294117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 Griffin" refreshedDate="46163.249584953701" createdVersion="8" refreshedVersion="8" minRefreshableVersion="3" recordCount="257" xr:uid="{DA1DD2DC-37FC-47F2-8B57-21A499BCD4E2}">
  <cacheSource type="worksheet">
    <worksheetSource name="Clean_Data"/>
  </cacheSource>
  <cacheFields count="10">
    <cacheField name="DATE" numFmtId="14">
      <sharedItems containsSemiMixedTypes="0" containsNonDate="0" containsDate="1" containsString="0" minDate="2025-01-02T00:00:00" maxDate="2025-12-31T00:00:00"/>
    </cacheField>
    <cacheField name="Sales" numFmtId="0">
      <sharedItems containsSemiMixedTypes="0" containsString="0" containsNumber="1" minValue="1720" maxValue="30545" count="251">
        <n v="13930"/>
        <n v="17780"/>
        <n v="20115"/>
        <n v="13185"/>
        <n v="8810"/>
        <n v="13630"/>
        <n v="12540"/>
        <n v="16115"/>
        <n v="13565"/>
        <n v="10785"/>
        <n v="10684"/>
        <n v="10335"/>
        <n v="15270"/>
        <n v="11775"/>
        <n v="8908"/>
        <n v="9470"/>
        <n v="8795"/>
        <n v="12375"/>
        <n v="15565"/>
        <n v="12650"/>
        <n v="12331"/>
        <n v="8752"/>
        <n v="19380"/>
        <n v="14060"/>
        <n v="13575"/>
        <n v="8210"/>
        <n v="8855"/>
        <n v="14548"/>
        <n v="19435"/>
        <n v="6080"/>
        <n v="10587.5"/>
        <n v="9500"/>
        <n v="21020"/>
        <n v="10280"/>
        <n v="11700"/>
        <n v="10930"/>
        <n v="10943"/>
        <n v="15097"/>
        <n v="11915"/>
        <n v="16925"/>
        <n v="12920"/>
        <n v="10065"/>
        <n v="19479"/>
        <n v="13125"/>
        <n v="11645"/>
        <n v="7390"/>
        <n v="15980"/>
        <n v="18740"/>
        <n v="15585"/>
        <n v="12520"/>
        <n v="11445"/>
        <n v="12748"/>
        <n v="17030"/>
        <n v="12955"/>
        <n v="11120"/>
        <n v="11865"/>
        <n v="17130"/>
        <n v="15225"/>
        <n v="10075"/>
        <n v="10595"/>
        <n v="8791"/>
        <n v="11415"/>
        <n v="13958"/>
        <n v="9440"/>
        <n v="15295"/>
        <n v="10985"/>
        <n v="11670"/>
        <n v="21235"/>
        <n v="10685"/>
        <n v="12115"/>
        <n v="9675"/>
        <n v="12085"/>
        <n v="16882.5"/>
        <n v="13135"/>
        <n v="10515"/>
        <n v="12040"/>
        <n v="13990"/>
        <n v="17679.5"/>
        <n v="13460"/>
        <n v="19725"/>
        <n v="8935"/>
        <n v="23919"/>
        <n v="14270"/>
        <n v="14425"/>
        <n v="15540"/>
        <n v="23440"/>
        <n v="22830"/>
        <n v="11450"/>
        <n v="13150"/>
        <n v="13390"/>
        <n v="13190"/>
        <n v="17132"/>
        <n v="13695"/>
        <n v="12470"/>
        <n v="9155"/>
        <n v="15380"/>
        <n v="12803"/>
        <n v="21327"/>
        <n v="15660"/>
        <n v="15015"/>
        <n v="13644"/>
        <n v="15725"/>
        <n v="13520"/>
        <n v="11287"/>
        <n v="20420"/>
        <n v="17220"/>
        <n v="12925"/>
        <n v="11615"/>
        <n v="12572"/>
        <n v="22905"/>
        <n v="13045"/>
        <n v="25705"/>
        <n v="10895"/>
        <n v="14675"/>
        <n v="16926"/>
        <n v="13231.5"/>
        <n v="16105"/>
        <n v="15982"/>
        <n v="10590"/>
        <n v="14405"/>
        <n v="14135"/>
        <n v="10395"/>
        <n v="10755"/>
        <n v="16379"/>
        <n v="21746"/>
        <n v="11681"/>
        <n v="17812"/>
        <n v="13098"/>
        <n v="6955"/>
        <n v="22030"/>
        <n v="16125"/>
        <n v="11435"/>
        <n v="14100"/>
        <n v="12225"/>
        <n v="21060"/>
        <n v="16107"/>
        <n v="6870"/>
        <n v="11145"/>
        <n v="14170"/>
        <n v="15470"/>
        <n v="10565"/>
        <n v="13470"/>
        <n v="15770"/>
        <n v="9865"/>
        <n v="19583"/>
        <n v="21715"/>
        <n v="11744"/>
        <n v="10720"/>
        <n v="23718"/>
        <n v="22072"/>
        <n v="16810"/>
        <n v="18845"/>
        <n v="16460"/>
        <n v="22504"/>
        <n v="12820"/>
        <n v="11602"/>
        <n v="16008"/>
        <n v="23269"/>
        <n v="14217.5"/>
        <n v="14475"/>
        <n v="10201"/>
        <n v="9600"/>
        <n v="15782"/>
        <n v="20190"/>
        <n v="12530"/>
        <n v="17314"/>
        <n v="15950"/>
        <n v="19480"/>
        <n v="9805"/>
        <n v="1925"/>
        <n v="14045"/>
        <n v="12595"/>
        <n v="30545"/>
        <n v="13550"/>
        <n v="14770"/>
        <n v="8507"/>
        <n v="11250"/>
        <n v="24186"/>
        <n v="11225"/>
        <n v="10535"/>
        <n v="15230"/>
        <n v="9425"/>
        <n v="18425"/>
        <n v="19315"/>
        <n v="15499"/>
        <n v="15158"/>
        <n v="10770"/>
        <n v="18335"/>
        <n v="19135"/>
        <n v="13940"/>
        <n v="19520"/>
        <n v="16485"/>
        <n v="17990"/>
        <n v="18305"/>
        <n v="7955"/>
        <n v="12145"/>
        <n v="15195"/>
        <n v="23280"/>
        <n v="15885"/>
        <n v="11150"/>
        <n v="14225"/>
        <n v="18350"/>
        <n v="14445"/>
        <n v="13210"/>
        <n v="13250"/>
        <n v="14325"/>
        <n v="20310"/>
        <n v="14830"/>
        <n v="17935"/>
        <n v="12020"/>
        <n v="14195"/>
        <n v="24335"/>
        <n v="20395"/>
        <n v="17470"/>
        <n v="15900"/>
        <n v="17040"/>
        <n v="20505"/>
        <n v="17835"/>
        <n v="18880"/>
        <n v="13655"/>
        <n v="20790"/>
        <n v="17241"/>
        <n v="18615"/>
        <n v="22090"/>
        <n v="11255"/>
        <n v="20590"/>
        <n v="15160"/>
        <n v="16800"/>
        <n v="18025"/>
        <n v="15890"/>
        <n v="30115"/>
        <n v="18455"/>
        <n v="17250"/>
        <n v="21675"/>
        <n v="16360"/>
        <n v="23425"/>
        <n v="18978"/>
        <n v="20830"/>
        <n v="15370"/>
        <n v="16835"/>
        <n v="17335"/>
        <n v="20035"/>
        <n v="18525"/>
        <n v="10310"/>
        <n v="12055"/>
        <n v="19880"/>
        <n v="16915"/>
        <n v="12385"/>
        <n v="26735"/>
        <n v="16950"/>
        <n v="1720"/>
      </sharedItems>
    </cacheField>
    <cacheField name="Expenses" numFmtId="0">
      <sharedItems containsSemiMixedTypes="0" containsString="0" containsNumber="1" minValue="0" maxValue="4113"/>
    </cacheField>
    <cacheField name="Profit" numFmtId="0">
      <sharedItems containsSemiMixedTypes="0" containsString="0" containsNumber="1" minValue="794" maxValue="29108"/>
    </cacheField>
    <cacheField name="Profit_Margin" numFmtId="0">
      <sharedItems containsSemiMixedTypes="0" containsString="0" containsNumber="1" minValue="0.461627906976744" maxValue="1"/>
    </cacheField>
    <cacheField name="Day_Name" numFmtId="0">
      <sharedItems/>
    </cacheField>
    <cacheField name="Month_Name" numFmtId="0">
      <sharedItems/>
    </cacheField>
    <cacheField name="Quarter" numFmtId="0">
      <sharedItems count="4">
        <s v="Q1"/>
        <s v="Q2"/>
        <s v="Q3"/>
        <s v="Q4"/>
      </sharedItems>
    </cacheField>
    <cacheField name="Week of Year" numFmtId="0">
      <sharedItems containsSemiMixedTypes="0" containsString="0" containsNumber="1" containsInteger="1" minValue="1" maxValue="53"/>
    </cacheField>
    <cacheField name="Index" numFmtId="0">
      <sharedItems containsSemiMixedTypes="0" containsString="0" containsNumber="1" containsInteger="1" minValue="1" maxValue="2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24372.73"/>
    <x v="0"/>
    <n v="12607.5"/>
  </r>
  <r>
    <x v="1"/>
    <x v="1"/>
    <n v="25228.73"/>
    <x v="1"/>
    <n v="12801.275"/>
  </r>
  <r>
    <x v="2"/>
    <x v="2"/>
    <n v="20229.5"/>
    <x v="2"/>
    <n v="13276.952380952382"/>
  </r>
  <r>
    <x v="3"/>
    <x v="3"/>
    <n v="24500.9"/>
    <x v="3"/>
    <n v="13986.409090909092"/>
  </r>
  <r>
    <x v="4"/>
    <x v="4"/>
    <n v="29629.33"/>
    <x v="4"/>
    <n v="15537.181818181818"/>
  </r>
  <r>
    <x v="5"/>
    <x v="5"/>
    <n v="16593.599999999999"/>
    <x v="5"/>
    <n v="14947.023809523809"/>
  </r>
  <r>
    <x v="6"/>
    <x v="6"/>
    <n v="20390.7"/>
    <x v="6"/>
    <n v="14228.652173913044"/>
  </r>
  <r>
    <x v="7"/>
    <x v="7"/>
    <n v="22578.3"/>
    <x v="7"/>
    <n v="16514.404761904763"/>
  </r>
  <r>
    <x v="8"/>
    <x v="8"/>
    <n v="17109.3"/>
    <x v="8"/>
    <n v="14462.272727272728"/>
  </r>
  <r>
    <x v="9"/>
    <x v="9"/>
    <n v="20135.099999999999"/>
    <x v="9"/>
    <n v="15852.608695652174"/>
  </r>
  <r>
    <x v="10"/>
    <x v="10"/>
    <n v="21436.6"/>
    <x v="10"/>
    <n v="18286.05"/>
  </r>
  <r>
    <x v="11"/>
    <x v="11"/>
    <n v="17879.900000000001"/>
    <x v="11"/>
    <n v="17101.15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907316"/>
    <x v="0"/>
    <n v="62020.4"/>
    <n v="16574.423529411764"/>
  </r>
  <r>
    <x v="1"/>
    <n v="858128"/>
    <x v="1"/>
    <n v="44959"/>
    <n v="15637.865384615385"/>
  </r>
  <r>
    <x v="2"/>
    <n v="653104.5"/>
    <x v="2"/>
    <n v="60125.56"/>
    <n v="11627.038039215686"/>
  </r>
  <r>
    <x v="3"/>
    <n v="708963"/>
    <x v="3"/>
    <n v="45548.13"/>
    <n v="12757.978269230769"/>
  </r>
  <r>
    <x v="4"/>
    <n v="712687"/>
    <x v="4"/>
    <n v="47431.6"/>
    <n v="13044.22352941176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">
  <r>
    <d v="2025-01-02T00:00:00"/>
    <x v="0"/>
    <n v="497"/>
    <n v="13433"/>
    <n v="0.96432160804020095"/>
    <s v="Thursday"/>
    <s v="January"/>
    <x v="0"/>
    <n v="1"/>
    <n v="1"/>
  </r>
  <r>
    <d v="2025-01-03T00:00:00"/>
    <x v="1"/>
    <n v="2385"/>
    <n v="15395"/>
    <n v="0.865860517435321"/>
    <s v="Friday"/>
    <s v="January"/>
    <x v="0"/>
    <n v="1"/>
    <n v="2"/>
  </r>
  <r>
    <d v="2025-01-06T00:00:00"/>
    <x v="2"/>
    <n v="253"/>
    <n v="19862"/>
    <n v="0.98742232165051003"/>
    <s v="Monday"/>
    <s v="January"/>
    <x v="0"/>
    <n v="2"/>
    <n v="3"/>
  </r>
  <r>
    <d v="2025-01-07T00:00:00"/>
    <x v="3"/>
    <n v="544"/>
    <n v="12641"/>
    <n v="0.95874099355328002"/>
    <s v="Tuesday"/>
    <s v="January"/>
    <x v="0"/>
    <n v="2"/>
    <n v="4"/>
  </r>
  <r>
    <d v="2025-01-08T00:00:00"/>
    <x v="4"/>
    <n v="583.5"/>
    <n v="8226.5"/>
    <n v="0.93376844494892197"/>
    <s v="Wednesday"/>
    <s v="January"/>
    <x v="0"/>
    <n v="2"/>
    <n v="5"/>
  </r>
  <r>
    <d v="2025-01-09T00:00:00"/>
    <x v="5"/>
    <n v="812.23"/>
    <n v="12817.77"/>
    <n v="0.94040865737344104"/>
    <s v="Thursday"/>
    <s v="January"/>
    <x v="0"/>
    <n v="2"/>
    <n v="6"/>
  </r>
  <r>
    <d v="2025-01-10T00:00:00"/>
    <x v="6"/>
    <n v="1143.5"/>
    <n v="11396.5"/>
    <n v="0.90881180223285496"/>
    <s v="Friday"/>
    <s v="January"/>
    <x v="0"/>
    <n v="2"/>
    <n v="7"/>
  </r>
  <r>
    <d v="2025-01-13T00:00:00"/>
    <x v="7"/>
    <n v="1127"/>
    <n v="14988"/>
    <n v="0.93006515668631695"/>
    <s v="Monday"/>
    <s v="January"/>
    <x v="0"/>
    <n v="3"/>
    <n v="8"/>
  </r>
  <r>
    <d v="2025-01-14T00:00:00"/>
    <x v="8"/>
    <n v="274"/>
    <n v="13291"/>
    <n v="0.97980095834869196"/>
    <s v="Tuesday"/>
    <s v="January"/>
    <x v="0"/>
    <n v="3"/>
    <n v="9"/>
  </r>
  <r>
    <d v="2025-01-15T00:00:00"/>
    <x v="9"/>
    <n v="858.5"/>
    <n v="9926.5"/>
    <n v="0.92039870190078799"/>
    <s v="Wednesday"/>
    <s v="January"/>
    <x v="0"/>
    <n v="3"/>
    <n v="10"/>
  </r>
  <r>
    <d v="2025-01-16T00:00:00"/>
    <x v="10"/>
    <n v="963"/>
    <n v="9721"/>
    <n v="0.90986521901909401"/>
    <s v="Thursday"/>
    <s v="January"/>
    <x v="0"/>
    <n v="3"/>
    <n v="11"/>
  </r>
  <r>
    <d v="2025-01-17T00:00:00"/>
    <x v="11"/>
    <n v="1093"/>
    <n v="9242"/>
    <n v="0.89424286405418496"/>
    <s v="Friday"/>
    <s v="January"/>
    <x v="0"/>
    <n v="3"/>
    <n v="12"/>
  </r>
  <r>
    <d v="2025-01-20T00:00:00"/>
    <x v="12"/>
    <n v="1058"/>
    <n v="14212"/>
    <n v="0.93071381794368002"/>
    <s v="Monday"/>
    <s v="January"/>
    <x v="0"/>
    <n v="4"/>
    <n v="13"/>
  </r>
  <r>
    <d v="2025-01-21T00:00:00"/>
    <x v="13"/>
    <n v="820"/>
    <n v="10955"/>
    <n v="0.93036093418259003"/>
    <s v="Tuesday"/>
    <s v="January"/>
    <x v="0"/>
    <n v="4"/>
    <n v="14"/>
  </r>
  <r>
    <d v="2025-01-22T00:00:00"/>
    <x v="14"/>
    <n v="260.5"/>
    <n v="8647.5"/>
    <n v="0.97075662325999101"/>
    <s v="Wednesday"/>
    <s v="January"/>
    <x v="0"/>
    <n v="4"/>
    <n v="15"/>
  </r>
  <r>
    <d v="2025-01-23T00:00:00"/>
    <x v="15"/>
    <n v="2294"/>
    <n v="7176"/>
    <n v="0.75776135163674796"/>
    <s v="Thursday"/>
    <s v="January"/>
    <x v="0"/>
    <n v="4"/>
    <n v="16"/>
  </r>
  <r>
    <d v="2025-01-24T00:00:00"/>
    <x v="16"/>
    <n v="346.5"/>
    <n v="8448.5"/>
    <n v="0.960602615122229"/>
    <s v="Friday"/>
    <s v="January"/>
    <x v="0"/>
    <n v="4"/>
    <n v="17"/>
  </r>
  <r>
    <d v="2025-01-27T00:00:00"/>
    <x v="17"/>
    <n v="1528"/>
    <n v="10847"/>
    <n v="0.87652525252525204"/>
    <s v="Monday"/>
    <s v="January"/>
    <x v="0"/>
    <n v="5"/>
    <n v="18"/>
  </r>
  <r>
    <d v="2025-01-28T00:00:00"/>
    <x v="18"/>
    <n v="2402"/>
    <n v="13163"/>
    <n v="0.84567940893029203"/>
    <s v="Tuesday"/>
    <s v="January"/>
    <x v="0"/>
    <n v="5"/>
    <n v="19"/>
  </r>
  <r>
    <d v="2025-01-29T00:00:00"/>
    <x v="19"/>
    <n v="473.5"/>
    <n v="12176.5"/>
    <n v="0.96256916996047404"/>
    <s v="Wednesday"/>
    <s v="January"/>
    <x v="0"/>
    <n v="5"/>
    <n v="20"/>
  </r>
  <r>
    <d v="2025-01-30T00:00:00"/>
    <x v="20"/>
    <n v="2153.5"/>
    <n v="10177.5"/>
    <n v="0.82535885167464096"/>
    <s v="Thursday"/>
    <s v="January"/>
    <x v="0"/>
    <n v="5"/>
    <n v="21"/>
  </r>
  <r>
    <d v="2025-01-31T00:00:00"/>
    <x v="21"/>
    <n v="2503"/>
    <n v="6249"/>
    <n v="0.71400822669104203"/>
    <s v="Friday"/>
    <s v="January"/>
    <x v="0"/>
    <n v="5"/>
    <n v="22"/>
  </r>
  <r>
    <d v="2025-02-03T00:00:00"/>
    <x v="22"/>
    <n v="756"/>
    <n v="18624"/>
    <n v="0.96099071207430398"/>
    <s v="Monday"/>
    <s v="February"/>
    <x v="0"/>
    <n v="6"/>
    <n v="23"/>
  </r>
  <r>
    <d v="2025-02-04T00:00:00"/>
    <x v="23"/>
    <n v="464"/>
    <n v="13596"/>
    <n v="0.96699857752489304"/>
    <s v="Tuesday"/>
    <s v="February"/>
    <x v="0"/>
    <n v="6"/>
    <n v="24"/>
  </r>
  <r>
    <d v="2025-02-05T00:00:00"/>
    <x v="24"/>
    <n v="955"/>
    <n v="12620"/>
    <n v="0.929650092081031"/>
    <s v="Wednesday"/>
    <s v="February"/>
    <x v="0"/>
    <n v="6"/>
    <n v="25"/>
  </r>
  <r>
    <d v="2025-02-06T00:00:00"/>
    <x v="25"/>
    <n v="1490"/>
    <n v="6720"/>
    <n v="0.81851400730816104"/>
    <s v="Thursday"/>
    <s v="February"/>
    <x v="0"/>
    <n v="6"/>
    <n v="26"/>
  </r>
  <r>
    <d v="2025-02-07T00:00:00"/>
    <x v="26"/>
    <n v="699.5"/>
    <n v="8155.5"/>
    <n v="0.92100508187464702"/>
    <s v="Friday"/>
    <s v="February"/>
    <x v="0"/>
    <n v="6"/>
    <n v="27"/>
  </r>
  <r>
    <d v="2025-02-10T00:00:00"/>
    <x v="27"/>
    <n v="3326"/>
    <n v="11222"/>
    <n v="0.77137750893593604"/>
    <s v="Monday"/>
    <s v="February"/>
    <x v="0"/>
    <n v="7"/>
    <n v="28"/>
  </r>
  <r>
    <d v="2025-02-11T00:00:00"/>
    <x v="28"/>
    <n v="241.5"/>
    <n v="19193.5"/>
    <n v="0.98757396449704105"/>
    <s v="Tuesday"/>
    <s v="February"/>
    <x v="0"/>
    <n v="7"/>
    <n v="29"/>
  </r>
  <r>
    <d v="2025-02-12T00:00:00"/>
    <x v="29"/>
    <n v="723"/>
    <n v="5357"/>
    <n v="0.88108552631578996"/>
    <s v="Wednesday"/>
    <s v="February"/>
    <x v="0"/>
    <n v="7"/>
    <n v="30"/>
  </r>
  <r>
    <d v="2025-02-13T00:00:00"/>
    <x v="30"/>
    <n v="1164.23"/>
    <n v="9423.27"/>
    <n v="0.89003730814639903"/>
    <s v="Thursday"/>
    <s v="February"/>
    <x v="0"/>
    <n v="7"/>
    <n v="31"/>
  </r>
  <r>
    <d v="2025-02-14T00:00:00"/>
    <x v="31"/>
    <n v="1357.5"/>
    <n v="8142.5"/>
    <n v="0.85710526315789504"/>
    <s v="Friday"/>
    <s v="February"/>
    <x v="0"/>
    <n v="7"/>
    <n v="32"/>
  </r>
  <r>
    <d v="2025-02-17T00:00:00"/>
    <x v="32"/>
    <n v="379"/>
    <n v="20641"/>
    <n v="0.98196955280685105"/>
    <s v="Monday"/>
    <s v="February"/>
    <x v="0"/>
    <n v="8"/>
    <n v="33"/>
  </r>
  <r>
    <d v="2025-02-18T00:00:00"/>
    <x v="33"/>
    <n v="463"/>
    <n v="9817"/>
    <n v="0.95496108949416403"/>
    <s v="Tuesday"/>
    <s v="February"/>
    <x v="0"/>
    <n v="8"/>
    <n v="34"/>
  </r>
  <r>
    <d v="2025-02-19T00:00:00"/>
    <x v="34"/>
    <n v="1802"/>
    <n v="9898"/>
    <n v="0.84598290598290604"/>
    <s v="Wednesday"/>
    <s v="February"/>
    <x v="0"/>
    <n v="8"/>
    <n v="35"/>
  </r>
  <r>
    <d v="2025-02-20T00:00:00"/>
    <x v="35"/>
    <n v="2115"/>
    <n v="8815"/>
    <n v="0.80649588289112595"/>
    <s v="Thursday"/>
    <s v="February"/>
    <x v="0"/>
    <n v="8"/>
    <n v="36"/>
  </r>
  <r>
    <d v="2025-02-21T00:00:00"/>
    <x v="36"/>
    <n v="236"/>
    <n v="10707"/>
    <n v="0.97843370190989698"/>
    <s v="Friday"/>
    <s v="February"/>
    <x v="0"/>
    <n v="8"/>
    <n v="37"/>
  </r>
  <r>
    <d v="2025-02-24T00:00:00"/>
    <x v="37"/>
    <n v="1342"/>
    <n v="13755"/>
    <n v="0.911108167185534"/>
    <s v="Monday"/>
    <s v="February"/>
    <x v="0"/>
    <n v="9"/>
    <n v="38"/>
  </r>
  <r>
    <d v="2025-02-25T00:00:00"/>
    <x v="38"/>
    <n v="560"/>
    <n v="11355"/>
    <n v="0.95300041963910997"/>
    <s v="Tuesday"/>
    <s v="February"/>
    <x v="0"/>
    <n v="9"/>
    <n v="39"/>
  </r>
  <r>
    <d v="2025-02-26T00:00:00"/>
    <x v="39"/>
    <n v="1634"/>
    <n v="15291"/>
    <n v="0.90345642540620397"/>
    <s v="Wednesday"/>
    <s v="February"/>
    <x v="0"/>
    <n v="9"/>
    <n v="40"/>
  </r>
  <r>
    <d v="2025-02-27T00:00:00"/>
    <x v="40"/>
    <n v="4113"/>
    <n v="8807"/>
    <n v="0.68165634674922604"/>
    <s v="Thursday"/>
    <s v="February"/>
    <x v="0"/>
    <n v="9"/>
    <n v="41"/>
  </r>
  <r>
    <d v="2025-02-28T00:00:00"/>
    <x v="41"/>
    <n v="1408"/>
    <n v="8657"/>
    <n v="0.86010928961748601"/>
    <s v="Friday"/>
    <s v="February"/>
    <x v="0"/>
    <n v="9"/>
    <n v="42"/>
  </r>
  <r>
    <d v="2025-03-03T00:00:00"/>
    <x v="42"/>
    <n v="667.5"/>
    <n v="18811.5"/>
    <n v="0.96573232712151602"/>
    <s v="Monday"/>
    <s v="March"/>
    <x v="0"/>
    <n v="10"/>
    <n v="43"/>
  </r>
  <r>
    <d v="2025-03-04T00:00:00"/>
    <x v="43"/>
    <n v="2832"/>
    <n v="10293"/>
    <n v="0.78422857142857105"/>
    <s v="Tuesday"/>
    <s v="March"/>
    <x v="0"/>
    <n v="10"/>
    <n v="44"/>
  </r>
  <r>
    <d v="2025-03-05T00:00:00"/>
    <x v="44"/>
    <n v="1590.5"/>
    <n v="10054.5"/>
    <n v="0.86341777586947199"/>
    <s v="Wednesday"/>
    <s v="March"/>
    <x v="0"/>
    <n v="10"/>
    <n v="45"/>
  </r>
  <r>
    <d v="2025-03-06T00:00:00"/>
    <x v="45"/>
    <n v="290"/>
    <n v="7100"/>
    <n v="0.96075778078484397"/>
    <s v="Thursday"/>
    <s v="March"/>
    <x v="0"/>
    <n v="10"/>
    <n v="46"/>
  </r>
  <r>
    <d v="2025-03-07T00:00:00"/>
    <x v="46"/>
    <n v="263"/>
    <n v="15717"/>
    <n v="0.98354192740926205"/>
    <s v="Friday"/>
    <s v="March"/>
    <x v="0"/>
    <n v="10"/>
    <n v="47"/>
  </r>
  <r>
    <d v="2025-03-10T00:00:00"/>
    <x v="47"/>
    <n v="1447.5"/>
    <n v="17292.5"/>
    <n v="0.92275880469583804"/>
    <s v="Monday"/>
    <s v="March"/>
    <x v="0"/>
    <n v="11"/>
    <n v="48"/>
  </r>
  <r>
    <d v="2025-03-11T00:00:00"/>
    <x v="48"/>
    <n v="791.5"/>
    <n v="14793.5"/>
    <n v="0.94921398780878996"/>
    <s v="Tuesday"/>
    <s v="March"/>
    <x v="0"/>
    <n v="11"/>
    <n v="49"/>
  </r>
  <r>
    <d v="2025-03-12T00:00:00"/>
    <x v="49"/>
    <n v="1350"/>
    <n v="11170"/>
    <n v="0.89217252396166102"/>
    <s v="Wednesday"/>
    <s v="March"/>
    <x v="0"/>
    <n v="11"/>
    <n v="50"/>
  </r>
  <r>
    <d v="2025-03-13T00:00:00"/>
    <x v="50"/>
    <n v="1205"/>
    <n v="10240"/>
    <n v="0.89471384884228899"/>
    <s v="Thursday"/>
    <s v="March"/>
    <x v="0"/>
    <n v="11"/>
    <n v="51"/>
  </r>
  <r>
    <d v="2025-03-14T00:00:00"/>
    <x v="51"/>
    <n v="2314.5"/>
    <n v="10433.5"/>
    <n v="0.81844210856605004"/>
    <s v="Friday"/>
    <s v="March"/>
    <x v="0"/>
    <n v="11"/>
    <n v="52"/>
  </r>
  <r>
    <d v="2025-03-17T00:00:00"/>
    <x v="52"/>
    <n v="879"/>
    <n v="16151"/>
    <n v="0.94838520258367598"/>
    <s v="Monday"/>
    <s v="March"/>
    <x v="0"/>
    <n v="12"/>
    <n v="53"/>
  </r>
  <r>
    <d v="2025-03-18T00:00:00"/>
    <x v="53"/>
    <n v="704"/>
    <n v="12251"/>
    <n v="0.94565804708606704"/>
    <s v="Tuesday"/>
    <s v="March"/>
    <x v="0"/>
    <n v="12"/>
    <n v="54"/>
  </r>
  <r>
    <d v="2025-03-19T00:00:00"/>
    <x v="54"/>
    <n v="584.5"/>
    <n v="10535.5"/>
    <n v="0.94743705035971204"/>
    <s v="Wednesday"/>
    <s v="March"/>
    <x v="0"/>
    <n v="12"/>
    <n v="55"/>
  </r>
  <r>
    <d v="2025-03-20T00:00:00"/>
    <x v="55"/>
    <n v="0"/>
    <n v="11865"/>
    <n v="1"/>
    <s v="Thursday"/>
    <s v="March"/>
    <x v="0"/>
    <n v="12"/>
    <n v="56"/>
  </r>
  <r>
    <d v="2025-03-21T00:00:00"/>
    <x v="56"/>
    <n v="590"/>
    <n v="16540"/>
    <n v="0.96555750145942798"/>
    <s v="Friday"/>
    <s v="March"/>
    <x v="0"/>
    <n v="12"/>
    <n v="57"/>
  </r>
  <r>
    <d v="2025-03-24T00:00:00"/>
    <x v="57"/>
    <n v="1061.5"/>
    <n v="14163.5"/>
    <n v="0.93027914614121499"/>
    <s v="Monday"/>
    <s v="March"/>
    <x v="0"/>
    <n v="13"/>
    <n v="58"/>
  </r>
  <r>
    <d v="2025-03-25T00:00:00"/>
    <x v="58"/>
    <n v="641"/>
    <n v="9434"/>
    <n v="0.93637717121588104"/>
    <s v="Tuesday"/>
    <s v="March"/>
    <x v="0"/>
    <n v="13"/>
    <n v="59"/>
  </r>
  <r>
    <d v="2025-03-26T00:00:00"/>
    <x v="59"/>
    <n v="376"/>
    <n v="10219"/>
    <n v="0.96451156205757405"/>
    <s v="Wednesday"/>
    <s v="March"/>
    <x v="0"/>
    <n v="13"/>
    <n v="60"/>
  </r>
  <r>
    <d v="2025-03-27T00:00:00"/>
    <x v="60"/>
    <n v="238"/>
    <n v="8553"/>
    <n v="0.97292685701285397"/>
    <s v="Thursday"/>
    <s v="March"/>
    <x v="0"/>
    <n v="13"/>
    <n v="61"/>
  </r>
  <r>
    <d v="2025-03-28T00:00:00"/>
    <x v="61"/>
    <n v="1970"/>
    <n v="9445"/>
    <n v="0.82742006132282098"/>
    <s v="Friday"/>
    <s v="March"/>
    <x v="0"/>
    <n v="13"/>
    <n v="62"/>
  </r>
  <r>
    <d v="2025-03-31T00:00:00"/>
    <x v="62"/>
    <n v="434"/>
    <n v="13524"/>
    <n v="0.96890672016048096"/>
    <s v="Monday"/>
    <s v="March"/>
    <x v="0"/>
    <n v="14"/>
    <n v="63"/>
  </r>
  <r>
    <d v="2025-04-01T00:00:00"/>
    <x v="63"/>
    <n v="514.49"/>
    <n v="8925.51"/>
    <n v="0.94549894067796603"/>
    <s v="Tuesday"/>
    <s v="April"/>
    <x v="1"/>
    <n v="14"/>
    <n v="64"/>
  </r>
  <r>
    <d v="2025-04-02T00:00:00"/>
    <x v="64"/>
    <n v="983.5"/>
    <n v="14311.5"/>
    <n v="0.93569794050343202"/>
    <s v="Wednesday"/>
    <s v="April"/>
    <x v="1"/>
    <n v="14"/>
    <n v="65"/>
  </r>
  <r>
    <d v="2025-04-03T00:00:00"/>
    <x v="65"/>
    <n v="616.5"/>
    <n v="10368.5"/>
    <n v="0.94387801547564898"/>
    <s v="Thursday"/>
    <s v="April"/>
    <x v="1"/>
    <n v="14"/>
    <n v="66"/>
  </r>
  <r>
    <d v="2025-04-04T00:00:00"/>
    <x v="66"/>
    <n v="2923"/>
    <n v="8747"/>
    <n v="0.74952870608397604"/>
    <s v="Friday"/>
    <s v="April"/>
    <x v="1"/>
    <n v="14"/>
    <n v="67"/>
  </r>
  <r>
    <d v="2025-04-07T00:00:00"/>
    <x v="67"/>
    <n v="927"/>
    <n v="20308"/>
    <n v="0.95634565575700503"/>
    <s v="Monday"/>
    <s v="April"/>
    <x v="1"/>
    <n v="15"/>
    <n v="68"/>
  </r>
  <r>
    <d v="2025-04-08T00:00:00"/>
    <x v="68"/>
    <n v="968.91"/>
    <n v="9716.09"/>
    <n v="0.90932054281703301"/>
    <s v="Tuesday"/>
    <s v="April"/>
    <x v="1"/>
    <n v="15"/>
    <n v="69"/>
  </r>
  <r>
    <d v="2025-04-09T00:00:00"/>
    <x v="69"/>
    <n v="575"/>
    <n v="11540"/>
    <n v="0.95253817581510503"/>
    <s v="Wednesday"/>
    <s v="April"/>
    <x v="1"/>
    <n v="15"/>
    <n v="70"/>
  </r>
  <r>
    <d v="2025-04-10T00:00:00"/>
    <x v="70"/>
    <n v="370"/>
    <n v="9305"/>
    <n v="0.961757105943152"/>
    <s v="Thursday"/>
    <s v="April"/>
    <x v="1"/>
    <n v="15"/>
    <n v="71"/>
  </r>
  <r>
    <d v="2025-04-11T00:00:00"/>
    <x v="71"/>
    <n v="1526.5"/>
    <n v="10558.5"/>
    <n v="0.87368638808440202"/>
    <s v="Friday"/>
    <s v="April"/>
    <x v="1"/>
    <n v="15"/>
    <n v="72"/>
  </r>
  <r>
    <d v="2025-04-14T00:00:00"/>
    <x v="72"/>
    <n v="966"/>
    <n v="15916.5"/>
    <n v="0.94278098622834305"/>
    <s v="Monday"/>
    <s v="April"/>
    <x v="1"/>
    <n v="16"/>
    <n v="73"/>
  </r>
  <r>
    <d v="2025-04-15T00:00:00"/>
    <x v="73"/>
    <n v="635"/>
    <n v="12500"/>
    <n v="0.95165588123334599"/>
    <s v="Tuesday"/>
    <s v="April"/>
    <x v="1"/>
    <n v="16"/>
    <n v="74"/>
  </r>
  <r>
    <d v="2025-04-16T00:00:00"/>
    <x v="74"/>
    <n v="2568.5"/>
    <n v="7946.5"/>
    <n v="0.75572990965287701"/>
    <s v="Wednesday"/>
    <s v="April"/>
    <x v="1"/>
    <n v="16"/>
    <n v="75"/>
  </r>
  <r>
    <d v="2025-04-17T00:00:00"/>
    <x v="75"/>
    <n v="678"/>
    <n v="11362"/>
    <n v="0.94368770764119603"/>
    <s v="Thursday"/>
    <s v="April"/>
    <x v="1"/>
    <n v="16"/>
    <n v="76"/>
  </r>
  <r>
    <d v="2025-04-18T00:00:00"/>
    <x v="76"/>
    <n v="404.5"/>
    <n v="13585.5"/>
    <n v="0.97108649035024996"/>
    <s v="Friday"/>
    <s v="April"/>
    <x v="1"/>
    <n v="16"/>
    <n v="77"/>
  </r>
  <r>
    <d v="2025-04-21T00:00:00"/>
    <x v="77"/>
    <n v="1129"/>
    <n v="16550.5"/>
    <n v="0.93614072796176395"/>
    <s v="Monday"/>
    <s v="April"/>
    <x v="1"/>
    <n v="17"/>
    <n v="78"/>
  </r>
  <r>
    <d v="2025-04-22T00:00:00"/>
    <x v="78"/>
    <n v="746"/>
    <n v="12714"/>
    <n v="0.94457652303120399"/>
    <s v="Tuesday"/>
    <s v="April"/>
    <x v="1"/>
    <n v="17"/>
    <n v="79"/>
  </r>
  <r>
    <d v="2025-04-23T00:00:00"/>
    <x v="79"/>
    <n v="1009"/>
    <n v="18716"/>
    <n v="0.94884664131812402"/>
    <s v="Wednesday"/>
    <s v="April"/>
    <x v="1"/>
    <n v="17"/>
    <n v="80"/>
  </r>
  <r>
    <d v="2025-04-24T00:00:00"/>
    <x v="80"/>
    <n v="1907"/>
    <n v="7028"/>
    <n v="0.78656966983771703"/>
    <s v="Thursday"/>
    <s v="April"/>
    <x v="1"/>
    <n v="17"/>
    <n v="81"/>
  </r>
  <r>
    <d v="2025-04-25T00:00:00"/>
    <x v="81"/>
    <n v="2192"/>
    <n v="21727"/>
    <n v="0.90835737279986595"/>
    <s v="Friday"/>
    <s v="April"/>
    <x v="1"/>
    <n v="17"/>
    <n v="82"/>
  </r>
  <r>
    <d v="2025-04-28T00:00:00"/>
    <x v="82"/>
    <n v="627"/>
    <n v="13643"/>
    <n v="0.95606166783461799"/>
    <s v="Monday"/>
    <s v="April"/>
    <x v="1"/>
    <n v="18"/>
    <n v="83"/>
  </r>
  <r>
    <d v="2025-04-29T00:00:00"/>
    <x v="83"/>
    <n v="1529"/>
    <n v="12896"/>
    <n v="0.89400346620450599"/>
    <s v="Tuesday"/>
    <s v="April"/>
    <x v="1"/>
    <n v="18"/>
    <n v="84"/>
  </r>
  <r>
    <d v="2025-04-30T00:00:00"/>
    <x v="84"/>
    <n v="705"/>
    <n v="14835"/>
    <n v="0.954633204633205"/>
    <s v="Wednesday"/>
    <s v="April"/>
    <x v="1"/>
    <n v="18"/>
    <n v="85"/>
  </r>
  <r>
    <d v="2025-05-01T00:00:00"/>
    <x v="85"/>
    <n v="3096.5"/>
    <n v="20343.5"/>
    <n v="0.86789675767918095"/>
    <s v="Thursday"/>
    <s v="May"/>
    <x v="1"/>
    <n v="18"/>
    <n v="86"/>
  </r>
  <r>
    <d v="2025-05-02T00:00:00"/>
    <x v="85"/>
    <n v="3096.5"/>
    <n v="20343.5"/>
    <n v="0.86789675767918095"/>
    <s v="Friday"/>
    <s v="May"/>
    <x v="1"/>
    <n v="18"/>
    <n v="87"/>
  </r>
  <r>
    <d v="2025-05-05T00:00:00"/>
    <x v="86"/>
    <n v="522"/>
    <n v="22308"/>
    <n v="0.977135348226018"/>
    <s v="Monday"/>
    <s v="May"/>
    <x v="1"/>
    <n v="19"/>
    <n v="88"/>
  </r>
  <r>
    <d v="2025-05-06T00:00:00"/>
    <x v="87"/>
    <n v="1554.5"/>
    <n v="9895.5"/>
    <n v="0.864235807860262"/>
    <s v="Tuesday"/>
    <s v="May"/>
    <x v="1"/>
    <n v="19"/>
    <n v="89"/>
  </r>
  <r>
    <d v="2025-05-07T00:00:00"/>
    <x v="88"/>
    <n v="2370"/>
    <n v="10780"/>
    <n v="0.81977186311787098"/>
    <s v="Wednesday"/>
    <s v="May"/>
    <x v="1"/>
    <n v="19"/>
    <n v="90"/>
  </r>
  <r>
    <d v="2025-05-08T00:00:00"/>
    <x v="89"/>
    <n v="591"/>
    <n v="12799"/>
    <n v="0.95586258401792401"/>
    <s v="Thursday"/>
    <s v="May"/>
    <x v="1"/>
    <n v="19"/>
    <n v="91"/>
  </r>
  <r>
    <d v="2025-05-09T00:00:00"/>
    <x v="90"/>
    <n v="1602"/>
    <n v="11588"/>
    <n v="0.87854435178165302"/>
    <s v="Friday"/>
    <s v="May"/>
    <x v="1"/>
    <n v="19"/>
    <n v="92"/>
  </r>
  <r>
    <d v="2025-05-12T00:00:00"/>
    <x v="91"/>
    <n v="592"/>
    <n v="16540"/>
    <n v="0.96544478169507397"/>
    <s v="Monday"/>
    <s v="May"/>
    <x v="1"/>
    <n v="20"/>
    <n v="93"/>
  </r>
  <r>
    <d v="2025-05-13T00:00:00"/>
    <x v="92"/>
    <n v="596.33000000000004"/>
    <n v="13098.67"/>
    <n v="0.95645637093829905"/>
    <s v="Tuesday"/>
    <s v="May"/>
    <x v="1"/>
    <n v="20"/>
    <n v="94"/>
  </r>
  <r>
    <d v="2025-05-14T00:00:00"/>
    <x v="93"/>
    <n v="595.5"/>
    <n v="11874.5"/>
    <n v="0.95224538893344002"/>
    <s v="Wednesday"/>
    <s v="May"/>
    <x v="1"/>
    <n v="20"/>
    <n v="95"/>
  </r>
  <r>
    <d v="2025-05-15T00:00:00"/>
    <x v="94"/>
    <n v="2526"/>
    <n v="6629"/>
    <n v="0.72408519934462001"/>
    <s v="Thursday"/>
    <s v="May"/>
    <x v="1"/>
    <n v="20"/>
    <n v="96"/>
  </r>
  <r>
    <d v="2025-05-16T00:00:00"/>
    <x v="95"/>
    <n v="1588"/>
    <n v="13792"/>
    <n v="0.89674902470741202"/>
    <s v="Friday"/>
    <s v="May"/>
    <x v="1"/>
    <n v="20"/>
    <n v="97"/>
  </r>
  <r>
    <d v="2025-05-19T00:00:00"/>
    <x v="92"/>
    <n v="831"/>
    <n v="12864"/>
    <n v="0.93932092004381196"/>
    <s v="Monday"/>
    <s v="May"/>
    <x v="1"/>
    <n v="21"/>
    <n v="98"/>
  </r>
  <r>
    <d v="2025-05-20T00:00:00"/>
    <x v="96"/>
    <n v="1086"/>
    <n v="11717"/>
    <n v="0.91517613059439196"/>
    <s v="Tuesday"/>
    <s v="May"/>
    <x v="1"/>
    <n v="21"/>
    <n v="99"/>
  </r>
  <r>
    <d v="2025-05-21T00:00:00"/>
    <x v="97"/>
    <n v="476"/>
    <n v="20851"/>
    <n v="0.97768087400947201"/>
    <s v="Wednesday"/>
    <s v="May"/>
    <x v="1"/>
    <n v="21"/>
    <n v="100"/>
  </r>
  <r>
    <d v="2025-05-22T00:00:00"/>
    <x v="98"/>
    <n v="1710"/>
    <n v="13950"/>
    <n v="0.89080459770114895"/>
    <s v="Thursday"/>
    <s v="May"/>
    <x v="1"/>
    <n v="21"/>
    <n v="101"/>
  </r>
  <r>
    <d v="2025-05-23T00:00:00"/>
    <x v="99"/>
    <n v="791"/>
    <n v="14224"/>
    <n v="0.94731934731934697"/>
    <s v="Friday"/>
    <s v="May"/>
    <x v="1"/>
    <n v="21"/>
    <n v="102"/>
  </r>
  <r>
    <d v="2025-05-26T00:00:00"/>
    <x v="100"/>
    <n v="517"/>
    <n v="13127"/>
    <n v="0.96210788625036603"/>
    <s v="Monday"/>
    <s v="May"/>
    <x v="1"/>
    <n v="22"/>
    <n v="103"/>
  </r>
  <r>
    <d v="2025-05-27T00:00:00"/>
    <x v="101"/>
    <n v="3125"/>
    <n v="12600"/>
    <n v="0.80127186009538998"/>
    <s v="Tuesday"/>
    <s v="May"/>
    <x v="1"/>
    <n v="22"/>
    <n v="104"/>
  </r>
  <r>
    <d v="2025-05-28T00:00:00"/>
    <x v="102"/>
    <n v="603"/>
    <n v="12917"/>
    <n v="0.95539940828402403"/>
    <s v="Wednesday"/>
    <s v="May"/>
    <x v="1"/>
    <n v="22"/>
    <n v="105"/>
  </r>
  <r>
    <d v="2025-05-29T00:00:00"/>
    <x v="103"/>
    <n v="1159"/>
    <n v="10128"/>
    <n v="0.89731549570302105"/>
    <s v="Thursday"/>
    <s v="May"/>
    <x v="1"/>
    <n v="22"/>
    <n v="106"/>
  </r>
  <r>
    <d v="2025-05-30T00:00:00"/>
    <x v="104"/>
    <n v="601"/>
    <n v="19819"/>
    <n v="0.97056807051909899"/>
    <s v="Friday"/>
    <s v="May"/>
    <x v="1"/>
    <n v="22"/>
    <n v="107"/>
  </r>
  <r>
    <d v="2025-06-02T00:00:00"/>
    <x v="105"/>
    <n v="658"/>
    <n v="16562"/>
    <n v="0.96178861788617898"/>
    <s v="Monday"/>
    <s v="June"/>
    <x v="1"/>
    <n v="23"/>
    <n v="108"/>
  </r>
  <r>
    <d v="2025-06-03T00:00:00"/>
    <x v="106"/>
    <n v="645"/>
    <n v="12280"/>
    <n v="0.95009671179884003"/>
    <s v="Tuesday"/>
    <s v="June"/>
    <x v="1"/>
    <n v="23"/>
    <n v="109"/>
  </r>
  <r>
    <d v="2025-06-04T00:00:00"/>
    <x v="107"/>
    <n v="729"/>
    <n v="10886"/>
    <n v="0.93723633232888504"/>
    <s v="Wednesday"/>
    <s v="June"/>
    <x v="1"/>
    <n v="23"/>
    <n v="110"/>
  </r>
  <r>
    <d v="2025-06-05T00:00:00"/>
    <x v="108"/>
    <n v="840"/>
    <n v="11732"/>
    <n v="0.93318485523385297"/>
    <s v="Thursday"/>
    <s v="June"/>
    <x v="1"/>
    <n v="23"/>
    <n v="111"/>
  </r>
  <r>
    <d v="2025-06-06T00:00:00"/>
    <x v="109"/>
    <n v="781"/>
    <n v="22124"/>
    <n v="0.96590264134468495"/>
    <s v="Friday"/>
    <s v="June"/>
    <x v="1"/>
    <n v="23"/>
    <n v="112"/>
  </r>
  <r>
    <d v="2025-06-09T00:00:00"/>
    <x v="110"/>
    <n v="1008"/>
    <n v="12037"/>
    <n v="0.92272901494825599"/>
    <s v="Monday"/>
    <s v="June"/>
    <x v="1"/>
    <n v="24"/>
    <n v="113"/>
  </r>
  <r>
    <d v="2025-06-10T00:00:00"/>
    <x v="111"/>
    <n v="1064"/>
    <n v="24641"/>
    <n v="0.95860727484925101"/>
    <s v="Tuesday"/>
    <s v="June"/>
    <x v="1"/>
    <n v="24"/>
    <n v="114"/>
  </r>
  <r>
    <d v="2025-06-11T00:00:00"/>
    <x v="112"/>
    <n v="1225"/>
    <n v="9670"/>
    <n v="0.88756310234052305"/>
    <s v="Wednesday"/>
    <s v="June"/>
    <x v="1"/>
    <n v="24"/>
    <n v="115"/>
  </r>
  <r>
    <d v="2025-06-12T00:00:00"/>
    <x v="113"/>
    <n v="1672.1"/>
    <n v="13002.9"/>
    <n v="0.88605792163543395"/>
    <s v="Thursday"/>
    <s v="June"/>
    <x v="1"/>
    <n v="24"/>
    <n v="116"/>
  </r>
  <r>
    <d v="2025-06-13T00:00:00"/>
    <x v="114"/>
    <n v="1192.5"/>
    <n v="15733.5"/>
    <n v="0.92954626019142195"/>
    <s v="Friday"/>
    <s v="June"/>
    <x v="1"/>
    <n v="24"/>
    <n v="117"/>
  </r>
  <r>
    <d v="2025-06-16T00:00:00"/>
    <x v="115"/>
    <n v="408.5"/>
    <n v="12823"/>
    <n v="0.96912670521104904"/>
    <s v="Monday"/>
    <s v="June"/>
    <x v="1"/>
    <n v="25"/>
    <n v="118"/>
  </r>
  <r>
    <d v="2025-06-17T00:00:00"/>
    <x v="116"/>
    <n v="325"/>
    <n v="15780"/>
    <n v="0.97981993169823001"/>
    <s v="Tuesday"/>
    <s v="June"/>
    <x v="1"/>
    <n v="25"/>
    <n v="119"/>
  </r>
  <r>
    <d v="2025-06-18T00:00:00"/>
    <x v="117"/>
    <n v="888.5"/>
    <n v="15093.5"/>
    <n v="0.94440620698285604"/>
    <s v="Wednesday"/>
    <s v="June"/>
    <x v="1"/>
    <n v="25"/>
    <n v="120"/>
  </r>
  <r>
    <d v="2025-06-19T00:00:00"/>
    <x v="118"/>
    <n v="680"/>
    <n v="9910"/>
    <n v="0.93578847969782797"/>
    <s v="Thursday"/>
    <s v="June"/>
    <x v="1"/>
    <n v="25"/>
    <n v="121"/>
  </r>
  <r>
    <d v="2025-06-20T00:00:00"/>
    <x v="119"/>
    <n v="811"/>
    <n v="13594"/>
    <n v="0.94370010413050998"/>
    <s v="Friday"/>
    <s v="June"/>
    <x v="1"/>
    <n v="25"/>
    <n v="122"/>
  </r>
  <r>
    <d v="2025-06-23T00:00:00"/>
    <x v="120"/>
    <n v="387"/>
    <n v="13748"/>
    <n v="0.97262115316590003"/>
    <s v="Monday"/>
    <s v="June"/>
    <x v="1"/>
    <n v="26"/>
    <n v="123"/>
  </r>
  <r>
    <d v="2025-06-24T00:00:00"/>
    <x v="121"/>
    <n v="395"/>
    <n v="10000"/>
    <n v="0.96200096200096197"/>
    <s v="Tuesday"/>
    <s v="June"/>
    <x v="1"/>
    <n v="26"/>
    <n v="124"/>
  </r>
  <r>
    <d v="2025-06-25T00:00:00"/>
    <x v="122"/>
    <n v="484"/>
    <n v="10271"/>
    <n v="0.954997675499768"/>
    <s v="Wednesday"/>
    <s v="June"/>
    <x v="1"/>
    <n v="26"/>
    <n v="125"/>
  </r>
  <r>
    <d v="2025-06-26T00:00:00"/>
    <x v="123"/>
    <n v="971"/>
    <n v="15408"/>
    <n v="0.94071677147567001"/>
    <s v="Thursday"/>
    <s v="June"/>
    <x v="1"/>
    <n v="26"/>
    <n v="126"/>
  </r>
  <r>
    <d v="2025-06-27T00:00:00"/>
    <x v="124"/>
    <n v="899"/>
    <n v="20847"/>
    <n v="0.95865906373585996"/>
    <s v="Friday"/>
    <s v="June"/>
    <x v="1"/>
    <n v="26"/>
    <n v="127"/>
  </r>
  <r>
    <d v="2025-06-30T00:00:00"/>
    <x v="125"/>
    <n v="530"/>
    <n v="11151"/>
    <n v="0.95462717233113603"/>
    <s v="Monday"/>
    <s v="June"/>
    <x v="1"/>
    <n v="27"/>
    <n v="128"/>
  </r>
  <r>
    <d v="2025-07-01T00:00:00"/>
    <x v="126"/>
    <n v="1006"/>
    <n v="16806"/>
    <n v="0.94352122164832697"/>
    <s v="Tuesday"/>
    <s v="July"/>
    <x v="2"/>
    <n v="27"/>
    <n v="129"/>
  </r>
  <r>
    <d v="2025-07-02T00:00:00"/>
    <x v="127"/>
    <n v="1056"/>
    <n v="12042"/>
    <n v="0.91937700412276702"/>
    <s v="Wednesday"/>
    <s v="July"/>
    <x v="2"/>
    <n v="27"/>
    <n v="130"/>
  </r>
  <r>
    <d v="2025-07-03T00:00:00"/>
    <x v="128"/>
    <n v="284"/>
    <n v="6671"/>
    <n v="0.95916606757728196"/>
    <s v="Thursday"/>
    <s v="July"/>
    <x v="2"/>
    <n v="27"/>
    <n v="131"/>
  </r>
  <r>
    <d v="2025-07-04T00:00:00"/>
    <x v="129"/>
    <n v="1141"/>
    <n v="20889"/>
    <n v="0.94820699046754398"/>
    <s v="Friday"/>
    <s v="July"/>
    <x v="2"/>
    <n v="27"/>
    <n v="132"/>
  </r>
  <r>
    <d v="2025-07-07T00:00:00"/>
    <x v="130"/>
    <n v="1102.5"/>
    <n v="15022.5"/>
    <n v="0.93162790697674402"/>
    <s v="Monday"/>
    <s v="July"/>
    <x v="2"/>
    <n v="28"/>
    <n v="133"/>
  </r>
  <r>
    <d v="2025-07-08T00:00:00"/>
    <x v="131"/>
    <n v="1187"/>
    <n v="10248"/>
    <n v="0.89619588981198095"/>
    <s v="Tuesday"/>
    <s v="July"/>
    <x v="2"/>
    <n v="28"/>
    <n v="134"/>
  </r>
  <r>
    <d v="2025-07-09T00:00:00"/>
    <x v="132"/>
    <n v="1578.7"/>
    <n v="12521.3"/>
    <n v="0.88803546099290798"/>
    <s v="Wednesday"/>
    <s v="July"/>
    <x v="2"/>
    <n v="28"/>
    <n v="135"/>
  </r>
  <r>
    <d v="2025-07-10T00:00:00"/>
    <x v="133"/>
    <n v="1331"/>
    <n v="10894"/>
    <n v="0.89112474437627798"/>
    <s v="Thursday"/>
    <s v="July"/>
    <x v="2"/>
    <n v="28"/>
    <n v="136"/>
  </r>
  <r>
    <d v="2025-07-11T00:00:00"/>
    <x v="134"/>
    <n v="963.5"/>
    <n v="20096.5"/>
    <n v="0.95424976258309602"/>
    <s v="Friday"/>
    <s v="July"/>
    <x v="2"/>
    <n v="28"/>
    <n v="137"/>
  </r>
  <r>
    <d v="2025-07-14T00:00:00"/>
    <x v="135"/>
    <n v="510.5"/>
    <n v="15596.5"/>
    <n v="0.96830570559384099"/>
    <s v="Monday"/>
    <s v="July"/>
    <x v="2"/>
    <n v="29"/>
    <n v="138"/>
  </r>
  <r>
    <d v="2025-07-15T00:00:00"/>
    <x v="136"/>
    <n v="714"/>
    <n v="6156"/>
    <n v="0.89606986899563301"/>
    <s v="Tuesday"/>
    <s v="July"/>
    <x v="2"/>
    <n v="29"/>
    <n v="139"/>
  </r>
  <r>
    <d v="2025-07-16T00:00:00"/>
    <x v="137"/>
    <n v="702"/>
    <n v="10443"/>
    <n v="0.93701211305518195"/>
    <s v="Wednesday"/>
    <s v="July"/>
    <x v="2"/>
    <n v="29"/>
    <n v="140"/>
  </r>
  <r>
    <d v="2025-07-17T00:00:00"/>
    <x v="138"/>
    <n v="1071"/>
    <n v="13099"/>
    <n v="0.92441778405081199"/>
    <s v="Thursday"/>
    <s v="July"/>
    <x v="2"/>
    <n v="29"/>
    <n v="141"/>
  </r>
  <r>
    <d v="2025-07-18T00:00:00"/>
    <x v="139"/>
    <n v="873"/>
    <n v="14597"/>
    <n v="0.94356819650937296"/>
    <s v="Friday"/>
    <s v="July"/>
    <x v="2"/>
    <n v="29"/>
    <n v="142"/>
  </r>
  <r>
    <d v="2025-07-21T00:00:00"/>
    <x v="140"/>
    <n v="854"/>
    <n v="9711"/>
    <n v="0.91916706105063894"/>
    <s v="Monday"/>
    <s v="July"/>
    <x v="2"/>
    <n v="30"/>
    <n v="143"/>
  </r>
  <r>
    <d v="2025-07-22T00:00:00"/>
    <x v="141"/>
    <n v="478.5"/>
    <n v="12991.5"/>
    <n v="0.96447661469933199"/>
    <s v="Tuesday"/>
    <s v="July"/>
    <x v="2"/>
    <n v="30"/>
    <n v="144"/>
  </r>
  <r>
    <d v="2025-07-23T00:00:00"/>
    <x v="142"/>
    <n v="718"/>
    <n v="15052"/>
    <n v="0.95447051363348101"/>
    <s v="Wednesday"/>
    <s v="July"/>
    <x v="2"/>
    <n v="30"/>
    <n v="145"/>
  </r>
  <r>
    <d v="2025-07-24T00:00:00"/>
    <x v="143"/>
    <n v="957"/>
    <n v="8908"/>
    <n v="0.90299036999493199"/>
    <s v="Thursday"/>
    <s v="July"/>
    <x v="2"/>
    <n v="30"/>
    <n v="146"/>
  </r>
  <r>
    <d v="2025-07-25T00:00:00"/>
    <x v="144"/>
    <n v="759.5"/>
    <n v="18823.5"/>
    <n v="0.961216361129551"/>
    <s v="Friday"/>
    <s v="July"/>
    <x v="2"/>
    <n v="30"/>
    <n v="147"/>
  </r>
  <r>
    <d v="2025-07-28T00:00:00"/>
    <x v="145"/>
    <n v="668.5"/>
    <n v="21046.5"/>
    <n v="0.96921482845958995"/>
    <s v="Monday"/>
    <s v="July"/>
    <x v="2"/>
    <n v="31"/>
    <n v="148"/>
  </r>
  <r>
    <d v="2025-07-29T00:00:00"/>
    <x v="146"/>
    <n v="590"/>
    <n v="11154"/>
    <n v="0.94976158038147096"/>
    <s v="Tuesday"/>
    <s v="July"/>
    <x v="2"/>
    <n v="31"/>
    <n v="149"/>
  </r>
  <r>
    <d v="2025-07-30T00:00:00"/>
    <x v="147"/>
    <n v="855"/>
    <n v="9865"/>
    <n v="0.92024253731343297"/>
    <s v="Wednesday"/>
    <s v="July"/>
    <x v="2"/>
    <n v="31"/>
    <n v="150"/>
  </r>
  <r>
    <d v="2025-07-31T00:00:00"/>
    <x v="57"/>
    <n v="990"/>
    <n v="14235"/>
    <n v="0.93497536945812798"/>
    <s v="Thursday"/>
    <s v="July"/>
    <x v="2"/>
    <n v="31"/>
    <n v="151"/>
  </r>
  <r>
    <d v="2025-08-01T00:00:00"/>
    <x v="148"/>
    <n v="1888"/>
    <n v="21830"/>
    <n v="0.92039800995024901"/>
    <s v="Friday"/>
    <s v="August"/>
    <x v="2"/>
    <n v="31"/>
    <n v="152"/>
  </r>
  <r>
    <d v="2025-08-04T00:00:00"/>
    <x v="149"/>
    <n v="856.5"/>
    <n v="21215.5"/>
    <n v="0.96119517941283095"/>
    <s v="Monday"/>
    <s v="August"/>
    <x v="2"/>
    <n v="32"/>
    <n v="153"/>
  </r>
  <r>
    <d v="2025-08-05T00:00:00"/>
    <x v="150"/>
    <n v="916.5"/>
    <n v="15893.5"/>
    <n v="0.94547888161808402"/>
    <s v="Tuesday"/>
    <s v="August"/>
    <x v="2"/>
    <n v="32"/>
    <n v="154"/>
  </r>
  <r>
    <d v="2025-08-06T00:00:00"/>
    <x v="151"/>
    <n v="1157"/>
    <n v="17688"/>
    <n v="0.938604404351287"/>
    <s v="Wednesday"/>
    <s v="August"/>
    <x v="2"/>
    <n v="32"/>
    <n v="155"/>
  </r>
  <r>
    <d v="2025-08-07T00:00:00"/>
    <x v="152"/>
    <n v="1667"/>
    <n v="14793"/>
    <n v="0.89872417982989095"/>
    <s v="Thursday"/>
    <s v="August"/>
    <x v="2"/>
    <n v="32"/>
    <n v="156"/>
  </r>
  <r>
    <d v="2025-08-08T00:00:00"/>
    <x v="153"/>
    <n v="1035"/>
    <n v="21469"/>
    <n v="0.95400817632420898"/>
    <s v="Friday"/>
    <s v="August"/>
    <x v="2"/>
    <n v="32"/>
    <n v="157"/>
  </r>
  <r>
    <d v="2025-08-11T00:00:00"/>
    <x v="154"/>
    <n v="1231"/>
    <n v="11589"/>
    <n v="0.90397815912636503"/>
    <s v="Monday"/>
    <s v="August"/>
    <x v="2"/>
    <n v="33"/>
    <n v="158"/>
  </r>
  <r>
    <d v="2025-08-12T00:00:00"/>
    <x v="53"/>
    <n v="1692.8"/>
    <n v="11262.2"/>
    <n v="0.86933230412967999"/>
    <s v="Tuesday"/>
    <s v="August"/>
    <x v="2"/>
    <n v="33"/>
    <n v="159"/>
  </r>
  <r>
    <d v="2025-08-13T00:00:00"/>
    <x v="155"/>
    <n v="812.5"/>
    <n v="10789.5"/>
    <n v="0.92996897086709196"/>
    <s v="Wednesday"/>
    <s v="August"/>
    <x v="2"/>
    <n v="33"/>
    <n v="160"/>
  </r>
  <r>
    <d v="2025-08-14T00:00:00"/>
    <x v="156"/>
    <n v="1135"/>
    <n v="14873"/>
    <n v="0.929097951024488"/>
    <s v="Thursday"/>
    <s v="August"/>
    <x v="2"/>
    <n v="33"/>
    <n v="161"/>
  </r>
  <r>
    <d v="2025-08-15T00:00:00"/>
    <x v="157"/>
    <n v="1444"/>
    <n v="21825"/>
    <n v="0.93794318621341699"/>
    <s v="Friday"/>
    <s v="August"/>
    <x v="2"/>
    <n v="33"/>
    <n v="162"/>
  </r>
  <r>
    <d v="2025-08-18T00:00:00"/>
    <x v="158"/>
    <n v="1501.5"/>
    <n v="12716"/>
    <n v="0.89439071566731099"/>
    <s v="Monday"/>
    <s v="August"/>
    <x v="2"/>
    <n v="34"/>
    <n v="163"/>
  </r>
  <r>
    <d v="2025-08-19T00:00:00"/>
    <x v="159"/>
    <n v="662"/>
    <n v="13813"/>
    <n v="0.95426597582037997"/>
    <s v="Tuesday"/>
    <s v="August"/>
    <x v="2"/>
    <n v="34"/>
    <n v="164"/>
  </r>
  <r>
    <d v="2025-08-20T00:00:00"/>
    <x v="160"/>
    <n v="708"/>
    <n v="9493"/>
    <n v="0.93059503970198998"/>
    <s v="Wednesday"/>
    <s v="August"/>
    <x v="2"/>
    <n v="34"/>
    <n v="165"/>
  </r>
  <r>
    <d v="2025-08-21T00:00:00"/>
    <x v="161"/>
    <n v="950.5"/>
    <n v="8649.5"/>
    <n v="0.90098958333333301"/>
    <s v="Thursday"/>
    <s v="August"/>
    <x v="2"/>
    <n v="34"/>
    <n v="166"/>
  </r>
  <r>
    <d v="2025-08-22T00:00:00"/>
    <x v="162"/>
    <n v="958"/>
    <n v="14824"/>
    <n v="0.93929793435559505"/>
    <s v="Friday"/>
    <s v="August"/>
    <x v="2"/>
    <n v="34"/>
    <n v="167"/>
  </r>
  <r>
    <d v="2025-08-25T00:00:00"/>
    <x v="163"/>
    <n v="639"/>
    <n v="19551"/>
    <n v="0.96835066864784602"/>
    <s v="Monday"/>
    <s v="August"/>
    <x v="2"/>
    <n v="35"/>
    <n v="168"/>
  </r>
  <r>
    <d v="2025-08-26T00:00:00"/>
    <x v="164"/>
    <n v="547"/>
    <n v="11983"/>
    <n v="0.95634477254589001"/>
    <s v="Tuesday"/>
    <s v="August"/>
    <x v="2"/>
    <n v="35"/>
    <n v="169"/>
  </r>
  <r>
    <d v="2025-08-27T00:00:00"/>
    <x v="165"/>
    <n v="750"/>
    <n v="16564"/>
    <n v="0.95668245350583403"/>
    <s v="Wednesday"/>
    <s v="August"/>
    <x v="2"/>
    <n v="35"/>
    <n v="170"/>
  </r>
  <r>
    <d v="2025-08-28T00:00:00"/>
    <x v="166"/>
    <n v="1077"/>
    <n v="14873"/>
    <n v="0.93247648902821301"/>
    <s v="Thursday"/>
    <s v="August"/>
    <x v="2"/>
    <n v="35"/>
    <n v="171"/>
  </r>
  <r>
    <d v="2025-08-29T00:00:00"/>
    <x v="167"/>
    <n v="950"/>
    <n v="18530"/>
    <n v="0.95123203285420899"/>
    <s v="Friday"/>
    <s v="August"/>
    <x v="2"/>
    <n v="35"/>
    <n v="172"/>
  </r>
  <r>
    <d v="2025-09-01T00:00:00"/>
    <x v="168"/>
    <n v="662"/>
    <n v="9143"/>
    <n v="0.93248342682304897"/>
    <s v="Monday"/>
    <s v="September"/>
    <x v="2"/>
    <n v="36"/>
    <n v="173"/>
  </r>
  <r>
    <d v="2025-09-02T00:00:00"/>
    <x v="169"/>
    <n v="772"/>
    <n v="1153"/>
    <n v="0.59896103896103903"/>
    <s v="Tuesday"/>
    <s v="September"/>
    <x v="2"/>
    <n v="36"/>
    <n v="174"/>
  </r>
  <r>
    <d v="2025-09-03T00:00:00"/>
    <x v="170"/>
    <n v="1003.8"/>
    <n v="13041.2"/>
    <n v="0.92852972588109595"/>
    <s v="Wednesday"/>
    <s v="September"/>
    <x v="2"/>
    <n v="36"/>
    <n v="175"/>
  </r>
  <r>
    <d v="2025-09-04T00:00:00"/>
    <x v="171"/>
    <n v="1202"/>
    <n v="11393"/>
    <n v="0.90456530369194099"/>
    <s v="Thursday"/>
    <s v="September"/>
    <x v="2"/>
    <n v="36"/>
    <n v="176"/>
  </r>
  <r>
    <d v="2025-09-05T00:00:00"/>
    <x v="172"/>
    <n v="1437"/>
    <n v="29108"/>
    <n v="0.95295465706334903"/>
    <s v="Friday"/>
    <s v="September"/>
    <x v="2"/>
    <n v="36"/>
    <n v="177"/>
  </r>
  <r>
    <d v="2025-09-08T00:00:00"/>
    <x v="173"/>
    <n v="610"/>
    <n v="12940"/>
    <n v="0.95498154981549799"/>
    <s v="Monday"/>
    <s v="September"/>
    <x v="2"/>
    <n v="37"/>
    <n v="178"/>
  </r>
  <r>
    <d v="2025-09-09T00:00:00"/>
    <x v="174"/>
    <n v="770"/>
    <n v="14000"/>
    <n v="0.94786729857819896"/>
    <s v="Tuesday"/>
    <s v="September"/>
    <x v="2"/>
    <n v="37"/>
    <n v="179"/>
  </r>
  <r>
    <d v="2025-09-10T00:00:00"/>
    <x v="175"/>
    <n v="551"/>
    <n v="7956"/>
    <n v="0.93522981074409295"/>
    <s v="Wednesday"/>
    <s v="September"/>
    <x v="2"/>
    <n v="37"/>
    <n v="180"/>
  </r>
  <r>
    <d v="2025-09-11T00:00:00"/>
    <x v="176"/>
    <n v="1173"/>
    <n v="10077"/>
    <n v="0.89573333333333405"/>
    <s v="Thursday"/>
    <s v="September"/>
    <x v="2"/>
    <n v="37"/>
    <n v="181"/>
  </r>
  <r>
    <d v="2025-09-12T00:00:00"/>
    <x v="177"/>
    <n v="786"/>
    <n v="23400"/>
    <n v="0.96750186058050103"/>
    <s v="Friday"/>
    <s v="September"/>
    <x v="2"/>
    <n v="37"/>
    <n v="182"/>
  </r>
  <r>
    <d v="2025-09-15T00:00:00"/>
    <x v="178"/>
    <n v="809"/>
    <n v="10416"/>
    <n v="0.927928730512249"/>
    <s v="Monday"/>
    <s v="September"/>
    <x v="2"/>
    <n v="38"/>
    <n v="183"/>
  </r>
  <r>
    <d v="2025-09-16T00:00:00"/>
    <x v="179"/>
    <n v="529"/>
    <n v="10006"/>
    <n v="0.94978642619838605"/>
    <s v="Tuesday"/>
    <s v="September"/>
    <x v="2"/>
    <n v="38"/>
    <n v="184"/>
  </r>
  <r>
    <d v="2025-09-17T00:00:00"/>
    <x v="180"/>
    <n v="797.5"/>
    <n v="14432.5"/>
    <n v="0.94763624425476001"/>
    <s v="Wednesday"/>
    <s v="September"/>
    <x v="2"/>
    <n v="38"/>
    <n v="185"/>
  </r>
  <r>
    <d v="2025-09-18T00:00:00"/>
    <x v="181"/>
    <n v="527"/>
    <n v="8898"/>
    <n v="0.94408488063660501"/>
    <s v="Thursday"/>
    <s v="September"/>
    <x v="2"/>
    <n v="38"/>
    <n v="186"/>
  </r>
  <r>
    <d v="2025-09-19T00:00:00"/>
    <x v="182"/>
    <n v="370.5"/>
    <n v="18054.5"/>
    <n v="0.97989145183174997"/>
    <s v="Friday"/>
    <s v="September"/>
    <x v="2"/>
    <n v="38"/>
    <n v="187"/>
  </r>
  <r>
    <d v="2025-09-22T00:00:00"/>
    <x v="183"/>
    <n v="795"/>
    <n v="18520"/>
    <n v="0.95884027957546003"/>
    <s v="Monday"/>
    <s v="September"/>
    <x v="2"/>
    <n v="39"/>
    <n v="188"/>
  </r>
  <r>
    <d v="2025-09-23T00:00:00"/>
    <x v="184"/>
    <n v="595.5"/>
    <n v="14903.5"/>
    <n v="0.96157816633331195"/>
    <s v="Tuesday"/>
    <s v="September"/>
    <x v="2"/>
    <n v="39"/>
    <n v="189"/>
  </r>
  <r>
    <d v="2025-09-24T00:00:00"/>
    <x v="185"/>
    <n v="470"/>
    <n v="14688"/>
    <n v="0.96899327088006404"/>
    <s v="Wednesday"/>
    <s v="September"/>
    <x v="2"/>
    <n v="39"/>
    <n v="190"/>
  </r>
  <r>
    <d v="2025-09-25T00:00:00"/>
    <x v="186"/>
    <n v="1051.5"/>
    <n v="9718.5"/>
    <n v="0.90236768802228395"/>
    <s v="Thursday"/>
    <s v="September"/>
    <x v="2"/>
    <n v="39"/>
    <n v="191"/>
  </r>
  <r>
    <d v="2025-09-26T00:00:00"/>
    <x v="187"/>
    <n v="874"/>
    <n v="17461"/>
    <n v="0.95233160621761603"/>
    <s v="Friday"/>
    <s v="September"/>
    <x v="2"/>
    <n v="39"/>
    <n v="192"/>
  </r>
  <r>
    <d v="2025-09-29T00:00:00"/>
    <x v="188"/>
    <n v="727.5"/>
    <n v="18407.5"/>
    <n v="0.96198066370525204"/>
    <s v="Monday"/>
    <s v="September"/>
    <x v="2"/>
    <n v="40"/>
    <n v="193"/>
  </r>
  <r>
    <d v="2025-09-30T00:00:00"/>
    <x v="189"/>
    <n v="596"/>
    <n v="13344"/>
    <n v="0.95724533715925397"/>
    <s v="Tuesday"/>
    <s v="September"/>
    <x v="2"/>
    <n v="40"/>
    <n v="194"/>
  </r>
  <r>
    <d v="2025-10-01T00:00:00"/>
    <x v="190"/>
    <n v="869.5"/>
    <n v="18650.5"/>
    <n v="0.95545594262295097"/>
    <s v="Wednesday"/>
    <s v="October"/>
    <x v="3"/>
    <n v="40"/>
    <n v="195"/>
  </r>
  <r>
    <d v="2025-10-02T00:00:00"/>
    <x v="191"/>
    <n v="584"/>
    <n v="15901"/>
    <n v="0.96457385501971504"/>
    <s v="Thursday"/>
    <s v="October"/>
    <x v="3"/>
    <n v="40"/>
    <n v="196"/>
  </r>
  <r>
    <d v="2025-10-03T00:00:00"/>
    <x v="192"/>
    <n v="746"/>
    <n v="17244"/>
    <n v="0.95853251806559203"/>
    <s v="Friday"/>
    <s v="October"/>
    <x v="3"/>
    <n v="40"/>
    <n v="197"/>
  </r>
  <r>
    <d v="2025-10-06T00:00:00"/>
    <x v="193"/>
    <n v="873"/>
    <n v="17432"/>
    <n v="0.95230811253755798"/>
    <s v="Monday"/>
    <s v="October"/>
    <x v="3"/>
    <n v="41"/>
    <n v="198"/>
  </r>
  <r>
    <d v="2025-10-07T00:00:00"/>
    <x v="194"/>
    <n v="502"/>
    <n v="7453"/>
    <n v="0.936895034569453"/>
    <s v="Tuesday"/>
    <s v="October"/>
    <x v="3"/>
    <n v="41"/>
    <n v="199"/>
  </r>
  <r>
    <d v="2025-10-08T00:00:00"/>
    <x v="195"/>
    <n v="659.5"/>
    <n v="11485.5"/>
    <n v="0.94569781803211195"/>
    <s v="Wednesday"/>
    <s v="October"/>
    <x v="3"/>
    <n v="41"/>
    <n v="200"/>
  </r>
  <r>
    <d v="2025-10-09T00:00:00"/>
    <x v="196"/>
    <n v="1359"/>
    <n v="13836"/>
    <n v="0.91056268509378102"/>
    <s v="Thursday"/>
    <s v="October"/>
    <x v="3"/>
    <n v="41"/>
    <n v="201"/>
  </r>
  <r>
    <d v="2025-10-10T00:00:00"/>
    <x v="197"/>
    <n v="626"/>
    <n v="22654"/>
    <n v="0.97310996563573904"/>
    <s v="Friday"/>
    <s v="October"/>
    <x v="3"/>
    <n v="41"/>
    <n v="202"/>
  </r>
  <r>
    <d v="2025-10-13T00:00:00"/>
    <x v="198"/>
    <n v="601.5"/>
    <n v="15283.5"/>
    <n v="0.96213408876298401"/>
    <s v="Monday"/>
    <s v="October"/>
    <x v="3"/>
    <n v="42"/>
    <n v="203"/>
  </r>
  <r>
    <d v="2025-10-14T00:00:00"/>
    <x v="199"/>
    <n v="896.1"/>
    <n v="10253.9"/>
    <n v="0.91963228699551602"/>
    <s v="Tuesday"/>
    <s v="October"/>
    <x v="3"/>
    <n v="42"/>
    <n v="204"/>
  </r>
  <r>
    <d v="2025-10-15T00:00:00"/>
    <x v="200"/>
    <n v="1044.5"/>
    <n v="13180.5"/>
    <n v="0.92657293497363802"/>
    <s v="Wednesday"/>
    <s v="October"/>
    <x v="3"/>
    <n v="42"/>
    <n v="205"/>
  </r>
  <r>
    <d v="2025-10-16T00:00:00"/>
    <x v="201"/>
    <n v="968"/>
    <n v="17382"/>
    <n v="0.94724795640326998"/>
    <s v="Thursday"/>
    <s v="October"/>
    <x v="3"/>
    <n v="42"/>
    <n v="206"/>
  </r>
  <r>
    <d v="2025-10-17T00:00:00"/>
    <x v="202"/>
    <n v="1686.5"/>
    <n v="12758.5"/>
    <n v="0.88324679820006902"/>
    <s v="Friday"/>
    <s v="October"/>
    <x v="3"/>
    <n v="42"/>
    <n v="207"/>
  </r>
  <r>
    <d v="2025-10-20T00:00:00"/>
    <x v="12"/>
    <n v="843"/>
    <n v="14427"/>
    <n v="0.94479371316306504"/>
    <s v="Monday"/>
    <s v="October"/>
    <x v="3"/>
    <n v="43"/>
    <n v="208"/>
  </r>
  <r>
    <d v="2025-10-21T00:00:00"/>
    <x v="203"/>
    <n v="647"/>
    <n v="12563"/>
    <n v="0.95102195306585902"/>
    <s v="Tuesday"/>
    <s v="October"/>
    <x v="3"/>
    <n v="43"/>
    <n v="209"/>
  </r>
  <r>
    <d v="2025-10-22T00:00:00"/>
    <x v="204"/>
    <n v="380"/>
    <n v="12870"/>
    <n v="0.97132075471698098"/>
    <s v="Wednesday"/>
    <s v="October"/>
    <x v="3"/>
    <n v="43"/>
    <n v="210"/>
  </r>
  <r>
    <d v="2025-10-23T00:00:00"/>
    <x v="205"/>
    <n v="696"/>
    <n v="13629"/>
    <n v="0.95141361256544499"/>
    <s v="Thursday"/>
    <s v="October"/>
    <x v="3"/>
    <n v="43"/>
    <n v="211"/>
  </r>
  <r>
    <d v="2025-10-24T00:00:00"/>
    <x v="206"/>
    <n v="1318.5"/>
    <n v="18991.5"/>
    <n v="0.93508124076809396"/>
    <s v="Friday"/>
    <s v="October"/>
    <x v="3"/>
    <n v="43"/>
    <n v="212"/>
  </r>
  <r>
    <d v="2025-10-27T00:00:00"/>
    <x v="207"/>
    <n v="590"/>
    <n v="14240"/>
    <n v="0.96021577882670295"/>
    <s v="Monday"/>
    <s v="October"/>
    <x v="3"/>
    <n v="44"/>
    <n v="213"/>
  </r>
  <r>
    <d v="2025-10-28T00:00:00"/>
    <x v="208"/>
    <n v="949"/>
    <n v="16986"/>
    <n v="0.94708670197936995"/>
    <s v="Tuesday"/>
    <s v="October"/>
    <x v="3"/>
    <n v="44"/>
    <n v="214"/>
  </r>
  <r>
    <d v="2025-10-29T00:00:00"/>
    <x v="209"/>
    <n v="801"/>
    <n v="11219"/>
    <n v="0.933361064891847"/>
    <s v="Wednesday"/>
    <s v="October"/>
    <x v="3"/>
    <n v="44"/>
    <n v="215"/>
  </r>
  <r>
    <d v="2025-10-30T00:00:00"/>
    <x v="210"/>
    <n v="1413.5"/>
    <n v="12781.5"/>
    <n v="0.90042268404367698"/>
    <s v="Thursday"/>
    <s v="October"/>
    <x v="3"/>
    <n v="44"/>
    <n v="216"/>
  </r>
  <r>
    <d v="2025-10-31T00:00:00"/>
    <x v="211"/>
    <n v="1081.5"/>
    <n v="23253.5"/>
    <n v="0.95555783850421205"/>
    <s v="Friday"/>
    <s v="October"/>
    <x v="3"/>
    <n v="44"/>
    <n v="217"/>
  </r>
  <r>
    <d v="2025-11-03T00:00:00"/>
    <x v="212"/>
    <n v="527"/>
    <n v="19868"/>
    <n v="0.97416033341505304"/>
    <s v="Monday"/>
    <s v="November"/>
    <x v="3"/>
    <n v="45"/>
    <n v="218"/>
  </r>
  <r>
    <d v="2025-11-04T00:00:00"/>
    <x v="213"/>
    <n v="1258"/>
    <n v="16212"/>
    <n v="0.92799084144247301"/>
    <s v="Tuesday"/>
    <s v="November"/>
    <x v="3"/>
    <n v="45"/>
    <n v="219"/>
  </r>
  <r>
    <d v="2025-11-05T00:00:00"/>
    <x v="214"/>
    <n v="769"/>
    <n v="15131"/>
    <n v="0.95163522012578605"/>
    <s v="Wednesday"/>
    <s v="November"/>
    <x v="3"/>
    <n v="45"/>
    <n v="220"/>
  </r>
  <r>
    <d v="2025-11-06T00:00:00"/>
    <x v="215"/>
    <n v="1097"/>
    <n v="15943"/>
    <n v="0.93562206572770001"/>
    <s v="Thursday"/>
    <s v="November"/>
    <x v="3"/>
    <n v="45"/>
    <n v="221"/>
  </r>
  <r>
    <d v="2025-11-07T00:00:00"/>
    <x v="216"/>
    <n v="1158"/>
    <n v="19347"/>
    <n v="0.94352596927578603"/>
    <s v="Friday"/>
    <s v="November"/>
    <x v="3"/>
    <n v="45"/>
    <n v="222"/>
  </r>
  <r>
    <d v="2025-11-10T00:00:00"/>
    <x v="217"/>
    <n v="1032"/>
    <n v="16803"/>
    <n v="0.94213624894869596"/>
    <s v="Monday"/>
    <s v="November"/>
    <x v="3"/>
    <n v="46"/>
    <n v="223"/>
  </r>
  <r>
    <d v="2025-11-11T00:00:00"/>
    <x v="218"/>
    <n v="799"/>
    <n v="18081"/>
    <n v="0.95768008474576305"/>
    <s v="Tuesday"/>
    <s v="November"/>
    <x v="3"/>
    <n v="46"/>
    <n v="224"/>
  </r>
  <r>
    <d v="2025-11-12T00:00:00"/>
    <x v="213"/>
    <n v="990.6"/>
    <n v="16479.400000000001"/>
    <n v="0.94329708070978802"/>
    <s v="Wednesday"/>
    <s v="November"/>
    <x v="3"/>
    <n v="46"/>
    <n v="225"/>
  </r>
  <r>
    <d v="2025-11-13T00:00:00"/>
    <x v="219"/>
    <n v="1168.5"/>
    <n v="12486.5"/>
    <n v="0.91442694983522499"/>
    <s v="Thursday"/>
    <s v="November"/>
    <x v="3"/>
    <n v="46"/>
    <n v="226"/>
  </r>
  <r>
    <d v="2025-11-14T00:00:00"/>
    <x v="220"/>
    <n v="933"/>
    <n v="19857"/>
    <n v="0.95512265512265504"/>
    <s v="Friday"/>
    <s v="November"/>
    <x v="3"/>
    <n v="46"/>
    <n v="227"/>
  </r>
  <r>
    <d v="2025-11-17T00:00:00"/>
    <x v="221"/>
    <n v="1197"/>
    <n v="16044"/>
    <n v="0.93057247259439702"/>
    <s v="Monday"/>
    <s v="November"/>
    <x v="3"/>
    <n v="47"/>
    <n v="228"/>
  </r>
  <r>
    <d v="2025-11-18T00:00:00"/>
    <x v="222"/>
    <n v="1202"/>
    <n v="17413"/>
    <n v="0.93542841794251996"/>
    <s v="Tuesday"/>
    <s v="November"/>
    <x v="3"/>
    <n v="47"/>
    <n v="229"/>
  </r>
  <r>
    <d v="2025-11-19T00:00:00"/>
    <x v="223"/>
    <n v="2050"/>
    <n v="20040"/>
    <n v="0.90719782707107299"/>
    <s v="Wednesday"/>
    <s v="November"/>
    <x v="3"/>
    <n v="47"/>
    <n v="230"/>
  </r>
  <r>
    <d v="2025-11-20T00:00:00"/>
    <x v="224"/>
    <n v="1058"/>
    <n v="10197"/>
    <n v="0.90599733451799203"/>
    <s v="Thursday"/>
    <s v="November"/>
    <x v="3"/>
    <n v="47"/>
    <n v="231"/>
  </r>
  <r>
    <d v="2025-11-21T00:00:00"/>
    <x v="225"/>
    <n v="1144"/>
    <n v="19446"/>
    <n v="0.94443904808159296"/>
    <s v="Friday"/>
    <s v="November"/>
    <x v="3"/>
    <n v="47"/>
    <n v="232"/>
  </r>
  <r>
    <d v="2025-11-24T00:00:00"/>
    <x v="226"/>
    <n v="728"/>
    <n v="14432"/>
    <n v="0.95197889182058004"/>
    <s v="Monday"/>
    <s v="November"/>
    <x v="3"/>
    <n v="48"/>
    <n v="233"/>
  </r>
  <r>
    <d v="2025-11-25T00:00:00"/>
    <x v="227"/>
    <n v="491"/>
    <n v="16309"/>
    <n v="0.97077380952380998"/>
    <s v="Tuesday"/>
    <s v="November"/>
    <x v="3"/>
    <n v="48"/>
    <n v="234"/>
  </r>
  <r>
    <d v="2025-11-26T00:00:00"/>
    <x v="228"/>
    <n v="1421"/>
    <n v="16604"/>
    <n v="0.92116504854368897"/>
    <s v="Wednesday"/>
    <s v="November"/>
    <x v="3"/>
    <n v="48"/>
    <n v="235"/>
  </r>
  <r>
    <d v="2025-11-27T00:00:00"/>
    <x v="229"/>
    <n v="853"/>
    <n v="15037"/>
    <n v="0.94631843926998105"/>
    <s v="Thursday"/>
    <s v="November"/>
    <x v="3"/>
    <n v="48"/>
    <n v="236"/>
  </r>
  <r>
    <d v="2025-11-28T00:00:00"/>
    <x v="230"/>
    <n v="1560.5"/>
    <n v="28554.5"/>
    <n v="0.94818196911838004"/>
    <s v="Friday"/>
    <s v="November"/>
    <x v="3"/>
    <n v="48"/>
    <n v="237"/>
  </r>
  <r>
    <d v="2025-12-01T00:00:00"/>
    <x v="231"/>
    <n v="1174"/>
    <n v="17281"/>
    <n v="0.93638580330533705"/>
    <s v="Monday"/>
    <s v="December"/>
    <x v="3"/>
    <n v="49"/>
    <n v="238"/>
  </r>
  <r>
    <d v="2025-12-02T00:00:00"/>
    <x v="232"/>
    <n v="1018.5"/>
    <n v="16231.5"/>
    <n v="0.94095652173913003"/>
    <s v="Tuesday"/>
    <s v="December"/>
    <x v="3"/>
    <n v="49"/>
    <n v="239"/>
  </r>
  <r>
    <d v="2025-12-03T00:00:00"/>
    <x v="233"/>
    <n v="874"/>
    <n v="20801"/>
    <n v="0.95967704728950398"/>
    <s v="Wednesday"/>
    <s v="December"/>
    <x v="3"/>
    <n v="49"/>
    <n v="240"/>
  </r>
  <r>
    <d v="2025-12-04T00:00:00"/>
    <x v="234"/>
    <n v="1237.5"/>
    <n v="15122.5"/>
    <n v="0.92435819070904601"/>
    <s v="Thursday"/>
    <s v="December"/>
    <x v="3"/>
    <n v="49"/>
    <n v="241"/>
  </r>
  <r>
    <d v="2025-12-05T00:00:00"/>
    <x v="235"/>
    <n v="938"/>
    <n v="22487"/>
    <n v="0.95995731056563505"/>
    <s v="Friday"/>
    <s v="December"/>
    <x v="3"/>
    <n v="49"/>
    <n v="242"/>
  </r>
  <r>
    <d v="2025-12-08T00:00:00"/>
    <x v="236"/>
    <n v="855"/>
    <n v="18123"/>
    <n v="0.95494783433449304"/>
    <s v="Monday"/>
    <s v="December"/>
    <x v="3"/>
    <n v="50"/>
    <n v="243"/>
  </r>
  <r>
    <d v="2025-12-09T00:00:00"/>
    <x v="237"/>
    <n v="288"/>
    <n v="20542"/>
    <n v="0.98617378780604903"/>
    <s v="Tuesday"/>
    <s v="December"/>
    <x v="3"/>
    <n v="50"/>
    <n v="244"/>
  </r>
  <r>
    <d v="2025-12-10T00:00:00"/>
    <x v="238"/>
    <n v="369"/>
    <n v="15001"/>
    <n v="0.975992192582954"/>
    <s v="Wednesday"/>
    <s v="December"/>
    <x v="3"/>
    <n v="50"/>
    <n v="245"/>
  </r>
  <r>
    <d v="2025-12-11T00:00:00"/>
    <x v="239"/>
    <n v="1249.5"/>
    <n v="15585.5"/>
    <n v="0.92577962577962603"/>
    <s v="Thursday"/>
    <s v="December"/>
    <x v="3"/>
    <n v="50"/>
    <n v="246"/>
  </r>
  <r>
    <d v="2025-12-12T00:00:00"/>
    <x v="240"/>
    <n v="1940.4"/>
    <n v="15394.6"/>
    <n v="0.88806460917219499"/>
    <s v="Friday"/>
    <s v="December"/>
    <x v="3"/>
    <n v="50"/>
    <n v="247"/>
  </r>
  <r>
    <d v="2025-12-15T00:00:00"/>
    <x v="241"/>
    <n v="1053.5"/>
    <n v="18981.5"/>
    <n v="0.94741702021462404"/>
    <s v="Monday"/>
    <s v="December"/>
    <x v="3"/>
    <n v="51"/>
    <n v="248"/>
  </r>
  <r>
    <d v="2025-12-16T00:00:00"/>
    <x v="242"/>
    <n v="1157"/>
    <n v="17368"/>
    <n v="0.93754385964912301"/>
    <s v="Tuesday"/>
    <s v="December"/>
    <x v="3"/>
    <n v="51"/>
    <n v="249"/>
  </r>
  <r>
    <d v="2025-12-17T00:00:00"/>
    <x v="243"/>
    <n v="1009"/>
    <n v="9301"/>
    <n v="0.90213385063045604"/>
    <s v="Wednesday"/>
    <s v="December"/>
    <x v="3"/>
    <n v="51"/>
    <n v="250"/>
  </r>
  <r>
    <d v="2025-12-18T00:00:00"/>
    <x v="244"/>
    <n v="873.5"/>
    <n v="11181.5"/>
    <n v="0.92754043965159705"/>
    <s v="Thursday"/>
    <s v="December"/>
    <x v="3"/>
    <n v="51"/>
    <n v="251"/>
  </r>
  <r>
    <d v="2025-12-19T00:00:00"/>
    <x v="245"/>
    <n v="691"/>
    <n v="19189"/>
    <n v="0.965241448692153"/>
    <s v="Friday"/>
    <s v="December"/>
    <x v="3"/>
    <n v="51"/>
    <n v="252"/>
  </r>
  <r>
    <d v="2025-12-22T00:00:00"/>
    <x v="246"/>
    <n v="409"/>
    <n v="16506"/>
    <n v="0.97582027785988801"/>
    <s v="Monday"/>
    <s v="December"/>
    <x v="3"/>
    <n v="52"/>
    <n v="253"/>
  </r>
  <r>
    <d v="2025-12-23T00:00:00"/>
    <x v="247"/>
    <n v="437"/>
    <n v="11948"/>
    <n v="0.964715381509891"/>
    <s v="Tuesday"/>
    <s v="December"/>
    <x v="3"/>
    <n v="52"/>
    <n v="254"/>
  </r>
  <r>
    <d v="2025-12-24T00:00:00"/>
    <x v="248"/>
    <n v="632"/>
    <n v="26103"/>
    <n v="0.976360576023939"/>
    <s v="Wednesday"/>
    <s v="December"/>
    <x v="3"/>
    <n v="52"/>
    <n v="255"/>
  </r>
  <r>
    <d v="2025-12-29T00:00:00"/>
    <x v="249"/>
    <n v="748"/>
    <n v="16202"/>
    <n v="0.95587020648967602"/>
    <s v="Monday"/>
    <s v="December"/>
    <x v="3"/>
    <n v="53"/>
    <n v="256"/>
  </r>
  <r>
    <d v="2025-12-30T00:00:00"/>
    <x v="250"/>
    <n v="926"/>
    <n v="794"/>
    <n v="0.461627906976744"/>
    <s v="Tuesday"/>
    <s v="December"/>
    <x v="3"/>
    <n v="53"/>
    <n v="2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E5C60-ABDD-493D-9888-770FA4D8E8C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N18:O23" firstHeaderRow="1" firstDataRow="1" firstDataCol="1"/>
  <pivotFields count="10">
    <pivotField numFmtId="14" showAll="0"/>
    <pivotField dataField="1" showAll="0">
      <items count="252">
        <item x="250"/>
        <item x="169"/>
        <item x="29"/>
        <item x="136"/>
        <item x="128"/>
        <item x="45"/>
        <item x="194"/>
        <item x="25"/>
        <item x="175"/>
        <item x="21"/>
        <item x="60"/>
        <item x="16"/>
        <item x="4"/>
        <item x="26"/>
        <item x="14"/>
        <item x="80"/>
        <item x="94"/>
        <item x="181"/>
        <item x="63"/>
        <item x="15"/>
        <item x="31"/>
        <item x="161"/>
        <item x="70"/>
        <item x="168"/>
        <item x="143"/>
        <item x="41"/>
        <item x="58"/>
        <item x="160"/>
        <item x="33"/>
        <item x="243"/>
        <item x="11"/>
        <item x="121"/>
        <item x="74"/>
        <item x="179"/>
        <item x="140"/>
        <item x="30"/>
        <item x="118"/>
        <item x="59"/>
        <item x="10"/>
        <item x="68"/>
        <item x="147"/>
        <item x="122"/>
        <item x="186"/>
        <item x="9"/>
        <item x="112"/>
        <item x="35"/>
        <item x="36"/>
        <item x="65"/>
        <item x="54"/>
        <item x="137"/>
        <item x="199"/>
        <item x="178"/>
        <item x="176"/>
        <item x="224"/>
        <item x="103"/>
        <item x="61"/>
        <item x="131"/>
        <item x="50"/>
        <item x="87"/>
        <item x="155"/>
        <item x="107"/>
        <item x="44"/>
        <item x="66"/>
        <item x="125"/>
        <item x="34"/>
        <item x="146"/>
        <item x="13"/>
        <item x="55"/>
        <item x="38"/>
        <item x="209"/>
        <item x="75"/>
        <item x="244"/>
        <item x="71"/>
        <item x="69"/>
        <item x="195"/>
        <item x="133"/>
        <item x="20"/>
        <item x="17"/>
        <item x="247"/>
        <item x="93"/>
        <item x="49"/>
        <item x="164"/>
        <item x="6"/>
        <item x="108"/>
        <item x="171"/>
        <item x="19"/>
        <item x="51"/>
        <item x="96"/>
        <item x="154"/>
        <item x="40"/>
        <item x="106"/>
        <item x="53"/>
        <item x="110"/>
        <item x="127"/>
        <item x="43"/>
        <item x="73"/>
        <item x="88"/>
        <item x="3"/>
        <item x="90"/>
        <item x="203"/>
        <item x="115"/>
        <item x="204"/>
        <item x="89"/>
        <item x="78"/>
        <item x="141"/>
        <item x="102"/>
        <item x="173"/>
        <item x="8"/>
        <item x="24"/>
        <item x="5"/>
        <item x="100"/>
        <item x="219"/>
        <item x="92"/>
        <item x="0"/>
        <item x="189"/>
        <item x="62"/>
        <item x="76"/>
        <item x="170"/>
        <item x="23"/>
        <item x="132"/>
        <item x="120"/>
        <item x="138"/>
        <item x="210"/>
        <item x="158"/>
        <item x="200"/>
        <item x="82"/>
        <item x="205"/>
        <item x="119"/>
        <item x="83"/>
        <item x="202"/>
        <item x="159"/>
        <item x="27"/>
        <item x="113"/>
        <item x="174"/>
        <item x="207"/>
        <item x="99"/>
        <item x="37"/>
        <item x="185"/>
        <item x="226"/>
        <item x="196"/>
        <item x="57"/>
        <item x="180"/>
        <item x="12"/>
        <item x="64"/>
        <item x="238"/>
        <item x="95"/>
        <item x="139"/>
        <item x="184"/>
        <item x="84"/>
        <item x="18"/>
        <item x="48"/>
        <item x="98"/>
        <item x="101"/>
        <item x="142"/>
        <item x="162"/>
        <item x="198"/>
        <item x="229"/>
        <item x="214"/>
        <item x="166"/>
        <item x="46"/>
        <item x="117"/>
        <item x="156"/>
        <item x="116"/>
        <item x="135"/>
        <item x="7"/>
        <item x="130"/>
        <item x="234"/>
        <item x="123"/>
        <item x="152"/>
        <item x="191"/>
        <item x="227"/>
        <item x="150"/>
        <item x="239"/>
        <item x="72"/>
        <item x="246"/>
        <item x="39"/>
        <item x="114"/>
        <item x="249"/>
        <item x="52"/>
        <item x="215"/>
        <item x="56"/>
        <item x="91"/>
        <item x="105"/>
        <item x="221"/>
        <item x="232"/>
        <item x="165"/>
        <item x="240"/>
        <item x="213"/>
        <item x="77"/>
        <item x="1"/>
        <item x="126"/>
        <item x="217"/>
        <item x="208"/>
        <item x="192"/>
        <item x="228"/>
        <item x="193"/>
        <item x="187"/>
        <item x="201"/>
        <item x="182"/>
        <item x="231"/>
        <item x="242"/>
        <item x="222"/>
        <item x="47"/>
        <item x="151"/>
        <item x="218"/>
        <item x="236"/>
        <item x="188"/>
        <item x="183"/>
        <item x="22"/>
        <item x="28"/>
        <item x="42"/>
        <item x="167"/>
        <item x="190"/>
        <item x="144"/>
        <item x="79"/>
        <item x="245"/>
        <item x="241"/>
        <item x="2"/>
        <item x="163"/>
        <item x="206"/>
        <item x="212"/>
        <item x="104"/>
        <item x="216"/>
        <item x="225"/>
        <item x="220"/>
        <item x="237"/>
        <item x="32"/>
        <item x="134"/>
        <item x="67"/>
        <item x="97"/>
        <item x="233"/>
        <item x="145"/>
        <item x="124"/>
        <item x="129"/>
        <item x="149"/>
        <item x="223"/>
        <item x="153"/>
        <item x="86"/>
        <item x="109"/>
        <item x="157"/>
        <item x="197"/>
        <item x="235"/>
        <item x="85"/>
        <item x="148"/>
        <item x="81"/>
        <item x="177"/>
        <item x="211"/>
        <item x="111"/>
        <item x="248"/>
        <item x="230"/>
        <item x="17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chartFormats count="5"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74574-5355-4131-A487-D81063962F2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K15:M28" firstHeaderRow="0" firstDataRow="1" firstDataCol="1"/>
  <pivotFields count="6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13">
        <item x="1"/>
        <item x="0"/>
        <item x="2"/>
        <item x="3"/>
        <item x="5"/>
        <item x="8"/>
        <item x="6"/>
        <item x="4"/>
        <item x="11"/>
        <item x="7"/>
        <item x="9"/>
        <item x="10"/>
        <item t="default"/>
      </items>
    </pivotField>
    <pivotField showAll="0"/>
    <pivotField dataField="1" showAll="0">
      <items count="13">
        <item x="1"/>
        <item x="0"/>
        <item x="2"/>
        <item x="3"/>
        <item x="5"/>
        <item x="8"/>
        <item x="6"/>
        <item x="4"/>
        <item x="11"/>
        <item x="7"/>
        <item x="10"/>
        <item x="9"/>
        <item t="default"/>
      </items>
    </pivotField>
    <pivotField showAll="0"/>
    <pivotField dragToRow="0" dragToCol="0" dragToPag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1" baseField="0" baseItem="0"/>
    <dataField name="Sum of Total Profit" fld="3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8EE26-9818-418D-B824-416F097B3B0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C8:E14" firstHeaderRow="0" firstDataRow="1" firstDataCol="1"/>
  <pivotFields count="5">
    <pivotField axis="axisRow" showAll="0" sortType="ascending">
      <items count="6">
        <item x="1"/>
        <item x="3"/>
        <item x="4"/>
        <item x="2"/>
        <item x="0"/>
        <item t="default"/>
      </items>
    </pivotField>
    <pivotField dataField="1" numFmtId="164" showAll="0"/>
    <pivotField dataField="1" numFmtId="164" showAll="0">
      <items count="6">
        <item x="2"/>
        <item x="3"/>
        <item x="4"/>
        <item x="1"/>
        <item x="0"/>
        <item t="default"/>
      </items>
    </pivotField>
    <pivotField numFmtId="164" showAll="0"/>
    <pivotField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1" baseField="0" baseItem="0" numFmtId="164"/>
    <dataField name="Sum of Total_Profit" fld="2" baseField="0" baseItem="0" numFmtId="164"/>
  </dataFields>
  <chartFormats count="2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A0492A7-5637-43F5-96E8-2F03E55498CC}" autoFormatId="16" applyNumberFormats="0" applyBorderFormats="0" applyFontFormats="0" applyPatternFormats="0" applyAlignmentFormats="0" applyWidthHeightFormats="0">
  <queryTableRefresh nextId="12">
    <queryTableFields count="3">
      <queryTableField id="1" name="DATE" tableColumnId="1"/>
      <queryTableField id="2" name="SALES" tableColumnId="2"/>
      <queryTableField id="3" name="EXPENSES" tableColumnId="3"/>
    </queryTableFields>
    <queryTableDeletedFields count="1">
      <deletedField name="Index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A1C4DE0-B32C-4BE0-AE86-95948A59D03A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Sales" tableColumnId="2"/>
      <queryTableField id="3" name="Expenses" tableColumnId="3"/>
      <queryTableField id="4" name="Profit" tableColumnId="4"/>
      <queryTableField id="5" name="Profit_Margin" tableColumnId="5"/>
      <queryTableField id="6" name="Day_Name" tableColumnId="6"/>
      <queryTableField id="7" name="Month_Name" tableColumnId="7"/>
      <queryTableField id="8" name="Quarter" tableColumnId="8"/>
      <queryTableField id="9" name="Week of Year" tableColumnId="9"/>
      <queryTableField id="10" name="Index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BAA6131-CA19-4713-BEEB-2E44C12C73C1}" autoFormatId="16" applyNumberFormats="0" applyBorderFormats="0" applyFontFormats="0" applyPatternFormats="0" applyAlignmentFormats="0" applyWidthHeightFormats="0">
  <queryTableRefresh nextId="6">
    <queryTableFields count="5">
      <queryTableField id="1" name="Month_Name" tableColumnId="1"/>
      <queryTableField id="2" name="Total Sales" tableColumnId="2"/>
      <queryTableField id="3" name="Total Expenses" tableColumnId="3"/>
      <queryTableField id="4" name="Total Profit" tableColumnId="4"/>
      <queryTableField id="5" name="Average Sale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E1A4F4E2-056D-4410-9E7E-B7F0CB2D5967}" autoFormatId="16" applyNumberFormats="0" applyBorderFormats="0" applyFontFormats="0" applyPatternFormats="0" applyAlignmentFormats="0" applyWidthHeightFormats="0">
  <queryTableRefresh nextId="6">
    <queryTableFields count="5">
      <queryTableField id="1" name="Day_Name" tableColumnId="1"/>
      <queryTableField id="2" name="Total_Sales" tableColumnId="2"/>
      <queryTableField id="3" name="Total_Profit" tableColumnId="3"/>
      <queryTableField id="4" name="Total_Expenses" tableColumnId="4"/>
      <queryTableField id="5" name="Average_Profi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645CE5F-4690-4C32-AB23-4D55F3C0869A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Month" tableColumnId="2"/>
      <queryTableField id="3" name="Month Name" tableColumnId="3"/>
      <queryTableField id="4" name="Quarter" tableColumnId="4"/>
      <queryTableField id="5" name="Quarter_Nam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4836E3-0DA6-463B-8497-9480BA596A0B}" name="Original_Data" displayName="Original_Data" ref="A1:C258" tableType="queryTable" totalsRowShown="0">
  <autoFilter ref="A1:C258" xr:uid="{8F4836E3-0DA6-463B-8497-9480BA596A0B}"/>
  <tableColumns count="3">
    <tableColumn id="1" xr3:uid="{8F3665EF-70B4-423C-B482-D2CE8544AFDC}" uniqueName="1" name="DATE" queryTableFieldId="1" dataDxfId="12"/>
    <tableColumn id="2" xr3:uid="{D4FF9610-A0F9-46A0-B86A-EF05EB1E5A38}" uniqueName="2" name="SALES" queryTableFieldId="2"/>
    <tableColumn id="3" xr3:uid="{48D8F181-7996-4DE6-BDDD-97120B66DE47}" uniqueName="3" name="EXPENSE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2EA4EA-1926-40B5-933C-B06C9AC101C6}" name="Clean_Data" displayName="Clean_Data" ref="A1:J258" tableType="queryTable" totalsRowShown="0">
  <autoFilter ref="A1:J258" xr:uid="{452EA4EA-1926-40B5-933C-B06C9AC101C6}"/>
  <sortState xmlns:xlrd2="http://schemas.microsoft.com/office/spreadsheetml/2017/richdata2" ref="A2:J258">
    <sortCondition descending="1" ref="H1:H258"/>
  </sortState>
  <tableColumns count="10">
    <tableColumn id="1" xr3:uid="{0DCC87B3-1A3E-4671-80A5-99F454D3CC3B}" uniqueName="1" name="DATE" queryTableFieldId="1" dataDxfId="11"/>
    <tableColumn id="2" xr3:uid="{C863D703-51A2-4D59-9B45-AA8F0A6E3C39}" uniqueName="2" name="Sales" queryTableFieldId="2"/>
    <tableColumn id="3" xr3:uid="{16D425D4-1D35-4161-82F9-619AB578E5C9}" uniqueName="3" name="Expenses" queryTableFieldId="3"/>
    <tableColumn id="4" xr3:uid="{CC8799C6-5509-471B-AF8A-584702CE9B7F}" uniqueName="4" name="Profit" queryTableFieldId="4"/>
    <tableColumn id="5" xr3:uid="{8BF2EB18-1585-4B08-AB3F-D0C9FAADC016}" uniqueName="5" name="Profit_Margin" queryTableFieldId="5" dataDxfId="10" dataCellStyle="Percent"/>
    <tableColumn id="6" xr3:uid="{16E235FF-B6DB-4468-8DC4-D92241F3BAD0}" uniqueName="6" name="Day_Name" queryTableFieldId="6" dataDxfId="9"/>
    <tableColumn id="7" xr3:uid="{DF2CDB94-6E36-4D75-B3D3-5E4A1AE149D7}" uniqueName="7" name="Month_Name" queryTableFieldId="7" dataDxfId="8"/>
    <tableColumn id="8" xr3:uid="{4D0DE3E4-D16B-4D33-B4CE-30CA7645D58D}" uniqueName="8" name="Quarter" queryTableFieldId="8"/>
    <tableColumn id="9" xr3:uid="{DA75206D-B58E-4414-89DE-B4166BDE1D98}" uniqueName="9" name="Week of Year" queryTableFieldId="9"/>
    <tableColumn id="10" xr3:uid="{6844F655-9A8B-42CB-BA12-16B6F418B5DC}" uniqueName="10" name="Index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006EC8-3FD9-4106-B249-FCA1C1F4203E}" name="Monthly_Summary" displayName="Monthly_Summary" ref="A1:E13" tableType="queryTable" totalsRowShown="0">
  <autoFilter ref="A1:E13" xr:uid="{B9006EC8-3FD9-4106-B249-FCA1C1F4203E}"/>
  <tableColumns count="5">
    <tableColumn id="1" xr3:uid="{E6222FDD-084B-48FB-8D42-D0C99C8E6784}" uniqueName="1" name="Month_Name" queryTableFieldId="1" dataDxfId="7"/>
    <tableColumn id="2" xr3:uid="{A926C894-2E38-4DC2-B065-0BC0B2AD47E3}" uniqueName="2" name="Total Sales" queryTableFieldId="2"/>
    <tableColumn id="3" xr3:uid="{C453D6F9-B9BE-43D1-8D3F-6696602C56C3}" uniqueName="3" name="Total Expenses" queryTableFieldId="3"/>
    <tableColumn id="4" xr3:uid="{80BE95FE-E631-49CF-AA37-00CDB7170E1A}" uniqueName="4" name="Total Profit" queryTableFieldId="4"/>
    <tableColumn id="5" xr3:uid="{63B5E1CA-EF2C-4A0A-8A93-DE25A457FA5C}" uniqueName="5" name="Average Sales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50D113-D690-4BFB-9471-DF4682BE69E7}" name="Weekday_Analysis" displayName="Weekday_Analysis" ref="A1:E6" tableType="queryTable" totalsRowShown="0">
  <autoFilter ref="A1:E6" xr:uid="{6750D113-D690-4BFB-9471-DF4682BE69E7}"/>
  <tableColumns count="5">
    <tableColumn id="1" xr3:uid="{B3A561C4-C4AB-4636-9216-E46517553F39}" uniqueName="1" name="Day_Name" queryTableFieldId="1" dataDxfId="6"/>
    <tableColumn id="2" xr3:uid="{CAC76AFB-230A-4ECF-BA94-E0F329C4E054}" uniqueName="2" name="Total_Sales" queryTableFieldId="2" dataDxfId="5"/>
    <tableColumn id="3" xr3:uid="{78F65066-E9B4-479A-AFBA-3F0C336DA7C9}" uniqueName="3" name="Total_Profit" queryTableFieldId="3" dataDxfId="4"/>
    <tableColumn id="4" xr3:uid="{142A53C5-9DDB-4718-BE47-25ABFB83E70C}" uniqueName="4" name="Total_Expenses" queryTableFieldId="4" dataDxfId="3"/>
    <tableColumn id="5" xr3:uid="{D83FD851-E461-47BF-9933-705ED7B37D58}" uniqueName="5" name="Average_Profit" queryTableFieldId="5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35EB970-95D9-41DD-BC72-2D3FC5CFD241}" name="Calendar" displayName="Calendar" ref="A1:E366" tableType="queryTable" totalsRowShown="0">
  <autoFilter ref="A1:E366" xr:uid="{635EB970-95D9-41DD-BC72-2D3FC5CFD241}"/>
  <tableColumns count="5">
    <tableColumn id="1" xr3:uid="{87C37CBC-647E-4369-8568-36C5AE6801A8}" uniqueName="1" name="Date" queryTableFieldId="1" dataDxfId="1"/>
    <tableColumn id="2" xr3:uid="{E1F14CB0-F8EA-49A2-A92A-969C87D3EC7A}" uniqueName="2" name="Month" queryTableFieldId="2"/>
    <tableColumn id="3" xr3:uid="{1B6F31DF-26B4-44C7-A12E-C4485A0EC522}" uniqueName="3" name="Month Name" queryTableFieldId="3" dataDxfId="0"/>
    <tableColumn id="4" xr3:uid="{A589D96A-53A5-4C21-A2B9-2A10B05C409C}" uniqueName="4" name="Quarter" queryTableFieldId="4"/>
    <tableColumn id="5" xr3:uid="{E96B44E0-2E0B-4287-899E-9FE0A0A7437B}" uniqueName="5" name="Quarter_Nam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A5F497-F3D7-49BE-B41A-CB6622C89104}" name="Table2" displayName="Table2" ref="A1:C258" totalsRowShown="0">
  <autoFilter ref="A1:C258" xr:uid="{D1A5F497-F3D7-49BE-B41A-CB6622C89104}"/>
  <tableColumns count="3">
    <tableColumn id="1" xr3:uid="{2A07B058-159C-4564-AA4B-A824C3E5D1D2}" name="DATE"/>
    <tableColumn id="2" xr3:uid="{A3D7FEE2-B187-4878-9490-E6E8C6FE6AE8}" name="SALES"/>
    <tableColumn id="3" xr3:uid="{349EF0EB-763B-46D4-85BE-ED6C7D74A702}" name="EXPEN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1C1F-9273-421B-A9B5-89B81EF014CA}">
  <dimension ref="A1"/>
  <sheetViews>
    <sheetView showGridLines="0" tabSelected="1" zoomScale="70" zoomScaleNormal="70" workbookViewId="0">
      <selection activeCell="Q19" sqref="Q19"/>
    </sheetView>
  </sheetViews>
  <sheetFormatPr defaultRowHeight="14.5" x14ac:dyDescent="0.35"/>
  <cols>
    <col min="1" max="16384" width="8.7265625" style="3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C6C7-AF5E-4F48-A10F-4E4D4F29D872}">
  <dimension ref="A1:C258"/>
  <sheetViews>
    <sheetView topLeftCell="A87" workbookViewId="0">
      <selection sqref="A1:C258"/>
    </sheetView>
  </sheetViews>
  <sheetFormatPr defaultRowHeight="14.5" x14ac:dyDescent="0.35"/>
  <cols>
    <col min="1" max="1" width="10.08984375" bestFit="1" customWidth="1"/>
    <col min="2" max="2" width="8.26953125" bestFit="1" customWidth="1"/>
    <col min="3" max="3" width="11.7265625" bestFit="1" customWidth="1"/>
    <col min="4" max="4" width="8.81640625" bestFit="1" customWidth="1"/>
    <col min="5" max="5" width="14.08984375" bestFit="1" customWidth="1"/>
    <col min="6" max="6" width="12" bestFit="1" customWidth="1"/>
    <col min="7" max="7" width="14.08984375" bestFit="1" customWidth="1"/>
    <col min="8" max="8" width="9.36328125" bestFit="1" customWidth="1"/>
    <col min="9" max="9" width="13.81640625" bestFit="1" customWidth="1"/>
    <col min="10" max="10" width="12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45659</v>
      </c>
      <c r="B2">
        <v>13930</v>
      </c>
      <c r="C2">
        <v>497</v>
      </c>
    </row>
    <row r="3" spans="1:3" x14ac:dyDescent="0.35">
      <c r="A3" s="1">
        <v>45660</v>
      </c>
      <c r="B3">
        <v>17780</v>
      </c>
      <c r="C3">
        <v>2385</v>
      </c>
    </row>
    <row r="4" spans="1:3" x14ac:dyDescent="0.35">
      <c r="A4" s="1">
        <v>45663</v>
      </c>
      <c r="B4">
        <v>20115</v>
      </c>
      <c r="C4">
        <v>253</v>
      </c>
    </row>
    <row r="5" spans="1:3" x14ac:dyDescent="0.35">
      <c r="A5" s="1">
        <v>45664</v>
      </c>
      <c r="B5">
        <v>13185</v>
      </c>
      <c r="C5">
        <v>544</v>
      </c>
    </row>
    <row r="6" spans="1:3" x14ac:dyDescent="0.35">
      <c r="A6" s="1">
        <v>45665</v>
      </c>
      <c r="B6">
        <v>8810</v>
      </c>
      <c r="C6">
        <v>583.5</v>
      </c>
    </row>
    <row r="7" spans="1:3" x14ac:dyDescent="0.35">
      <c r="A7" s="1">
        <v>45666</v>
      </c>
      <c r="B7">
        <v>13630</v>
      </c>
      <c r="C7">
        <v>812.23</v>
      </c>
    </row>
    <row r="8" spans="1:3" x14ac:dyDescent="0.35">
      <c r="A8" s="1">
        <v>45667</v>
      </c>
      <c r="B8">
        <v>12540</v>
      </c>
      <c r="C8">
        <v>1143.5</v>
      </c>
    </row>
    <row r="9" spans="1:3" x14ac:dyDescent="0.35">
      <c r="A9" s="1">
        <v>45670</v>
      </c>
      <c r="B9">
        <v>16115</v>
      </c>
      <c r="C9">
        <v>1127</v>
      </c>
    </row>
    <row r="10" spans="1:3" x14ac:dyDescent="0.35">
      <c r="A10" s="1">
        <v>45671</v>
      </c>
      <c r="B10">
        <v>13565</v>
      </c>
      <c r="C10">
        <v>274</v>
      </c>
    </row>
    <row r="11" spans="1:3" x14ac:dyDescent="0.35">
      <c r="A11" s="1">
        <v>45672</v>
      </c>
      <c r="B11">
        <v>10785</v>
      </c>
      <c r="C11">
        <v>858.5</v>
      </c>
    </row>
    <row r="12" spans="1:3" x14ac:dyDescent="0.35">
      <c r="A12" s="1">
        <v>45673</v>
      </c>
      <c r="B12">
        <v>10684</v>
      </c>
      <c r="C12">
        <v>963</v>
      </c>
    </row>
    <row r="13" spans="1:3" x14ac:dyDescent="0.35">
      <c r="A13" s="1">
        <v>45674</v>
      </c>
      <c r="B13">
        <v>10335</v>
      </c>
      <c r="C13">
        <v>1093</v>
      </c>
    </row>
    <row r="14" spans="1:3" x14ac:dyDescent="0.35">
      <c r="A14" s="1">
        <v>45677</v>
      </c>
      <c r="B14">
        <v>15270</v>
      </c>
      <c r="C14">
        <v>1058</v>
      </c>
    </row>
    <row r="15" spans="1:3" x14ac:dyDescent="0.35">
      <c r="A15" s="1">
        <v>45678</v>
      </c>
      <c r="B15">
        <v>11775</v>
      </c>
      <c r="C15">
        <v>820</v>
      </c>
    </row>
    <row r="16" spans="1:3" x14ac:dyDescent="0.35">
      <c r="A16" s="1">
        <v>45679</v>
      </c>
      <c r="B16">
        <v>8908</v>
      </c>
      <c r="C16">
        <v>260.5</v>
      </c>
    </row>
    <row r="17" spans="1:3" x14ac:dyDescent="0.35">
      <c r="A17" s="1">
        <v>45680</v>
      </c>
      <c r="B17">
        <v>9470</v>
      </c>
      <c r="C17">
        <v>2294</v>
      </c>
    </row>
    <row r="18" spans="1:3" x14ac:dyDescent="0.35">
      <c r="A18" s="1">
        <v>45681</v>
      </c>
      <c r="B18">
        <v>8795</v>
      </c>
      <c r="C18">
        <v>346.5</v>
      </c>
    </row>
    <row r="19" spans="1:3" x14ac:dyDescent="0.35">
      <c r="A19" s="1">
        <v>45684</v>
      </c>
      <c r="B19">
        <v>12375</v>
      </c>
      <c r="C19">
        <v>1528</v>
      </c>
    </row>
    <row r="20" spans="1:3" x14ac:dyDescent="0.35">
      <c r="A20" s="1">
        <v>45685</v>
      </c>
      <c r="B20">
        <v>15565</v>
      </c>
      <c r="C20">
        <v>2402</v>
      </c>
    </row>
    <row r="21" spans="1:3" x14ac:dyDescent="0.35">
      <c r="A21" s="1">
        <v>45686</v>
      </c>
      <c r="B21">
        <v>12650</v>
      </c>
      <c r="C21">
        <v>473.5</v>
      </c>
    </row>
    <row r="22" spans="1:3" x14ac:dyDescent="0.35">
      <c r="A22" s="1">
        <v>45687</v>
      </c>
      <c r="B22">
        <v>12331</v>
      </c>
      <c r="C22">
        <v>2153.5</v>
      </c>
    </row>
    <row r="23" spans="1:3" x14ac:dyDescent="0.35">
      <c r="A23" s="1">
        <v>45688</v>
      </c>
      <c r="B23">
        <v>8752</v>
      </c>
      <c r="C23">
        <v>2503</v>
      </c>
    </row>
    <row r="24" spans="1:3" x14ac:dyDescent="0.35">
      <c r="A24" s="1">
        <v>45691</v>
      </c>
      <c r="B24">
        <v>19380</v>
      </c>
      <c r="C24">
        <v>756</v>
      </c>
    </row>
    <row r="25" spans="1:3" x14ac:dyDescent="0.35">
      <c r="A25" s="1">
        <v>45692</v>
      </c>
      <c r="B25">
        <v>14060</v>
      </c>
      <c r="C25">
        <v>464</v>
      </c>
    </row>
    <row r="26" spans="1:3" x14ac:dyDescent="0.35">
      <c r="A26" s="1">
        <v>45693</v>
      </c>
      <c r="B26">
        <v>13575</v>
      </c>
      <c r="C26">
        <v>955</v>
      </c>
    </row>
    <row r="27" spans="1:3" x14ac:dyDescent="0.35">
      <c r="A27" s="1">
        <v>45694</v>
      </c>
      <c r="B27">
        <v>8210</v>
      </c>
      <c r="C27">
        <v>1490</v>
      </c>
    </row>
    <row r="28" spans="1:3" x14ac:dyDescent="0.35">
      <c r="A28" s="1">
        <v>45695</v>
      </c>
      <c r="B28">
        <v>8855</v>
      </c>
      <c r="C28">
        <v>699.5</v>
      </c>
    </row>
    <row r="29" spans="1:3" x14ac:dyDescent="0.35">
      <c r="A29" s="1">
        <v>45698</v>
      </c>
      <c r="B29">
        <v>14548</v>
      </c>
      <c r="C29">
        <v>3326</v>
      </c>
    </row>
    <row r="30" spans="1:3" x14ac:dyDescent="0.35">
      <c r="A30" s="1">
        <v>45699</v>
      </c>
      <c r="B30">
        <v>19435</v>
      </c>
      <c r="C30">
        <v>241.5</v>
      </c>
    </row>
    <row r="31" spans="1:3" x14ac:dyDescent="0.35">
      <c r="A31" s="1">
        <v>45700</v>
      </c>
      <c r="B31">
        <v>6080</v>
      </c>
      <c r="C31">
        <v>723</v>
      </c>
    </row>
    <row r="32" spans="1:3" x14ac:dyDescent="0.35">
      <c r="A32" s="1">
        <v>45701</v>
      </c>
      <c r="B32">
        <v>10587.5</v>
      </c>
      <c r="C32">
        <v>1164.23</v>
      </c>
    </row>
    <row r="33" spans="1:3" x14ac:dyDescent="0.35">
      <c r="A33" s="1">
        <v>45702</v>
      </c>
      <c r="B33">
        <v>9500</v>
      </c>
      <c r="C33">
        <v>1357.5</v>
      </c>
    </row>
    <row r="34" spans="1:3" x14ac:dyDescent="0.35">
      <c r="A34" s="1">
        <v>45705</v>
      </c>
      <c r="B34">
        <v>21020</v>
      </c>
      <c r="C34">
        <v>379</v>
      </c>
    </row>
    <row r="35" spans="1:3" x14ac:dyDescent="0.35">
      <c r="A35" s="1">
        <v>45706</v>
      </c>
      <c r="B35">
        <v>10280</v>
      </c>
      <c r="C35">
        <v>463</v>
      </c>
    </row>
    <row r="36" spans="1:3" x14ac:dyDescent="0.35">
      <c r="A36" s="1">
        <v>45707</v>
      </c>
      <c r="B36">
        <v>11700</v>
      </c>
      <c r="C36">
        <v>1802</v>
      </c>
    </row>
    <row r="37" spans="1:3" x14ac:dyDescent="0.35">
      <c r="A37" s="1">
        <v>45708</v>
      </c>
      <c r="B37">
        <v>10930</v>
      </c>
      <c r="C37">
        <v>2115</v>
      </c>
    </row>
    <row r="38" spans="1:3" x14ac:dyDescent="0.35">
      <c r="A38" s="1">
        <v>45709</v>
      </c>
      <c r="B38">
        <v>10943</v>
      </c>
      <c r="C38">
        <v>236</v>
      </c>
    </row>
    <row r="39" spans="1:3" x14ac:dyDescent="0.35">
      <c r="A39" s="1">
        <v>45712</v>
      </c>
      <c r="B39">
        <v>15097</v>
      </c>
      <c r="C39">
        <v>1342</v>
      </c>
    </row>
    <row r="40" spans="1:3" x14ac:dyDescent="0.35">
      <c r="A40" s="1">
        <v>45713</v>
      </c>
      <c r="B40">
        <v>11915</v>
      </c>
      <c r="C40">
        <v>560</v>
      </c>
    </row>
    <row r="41" spans="1:3" x14ac:dyDescent="0.35">
      <c r="A41" s="1">
        <v>45714</v>
      </c>
      <c r="B41">
        <v>16925</v>
      </c>
      <c r="C41">
        <v>1634</v>
      </c>
    </row>
    <row r="42" spans="1:3" x14ac:dyDescent="0.35">
      <c r="A42" s="1">
        <v>45715</v>
      </c>
      <c r="B42">
        <v>12920</v>
      </c>
      <c r="C42">
        <v>4113</v>
      </c>
    </row>
    <row r="43" spans="1:3" x14ac:dyDescent="0.35">
      <c r="A43" s="1">
        <v>45716</v>
      </c>
      <c r="B43">
        <v>10065</v>
      </c>
      <c r="C43">
        <v>1408</v>
      </c>
    </row>
    <row r="44" spans="1:3" x14ac:dyDescent="0.35">
      <c r="A44" s="1">
        <v>45719</v>
      </c>
      <c r="B44">
        <v>19479</v>
      </c>
      <c r="C44">
        <v>667.5</v>
      </c>
    </row>
    <row r="45" spans="1:3" x14ac:dyDescent="0.35">
      <c r="A45" s="1">
        <v>45720</v>
      </c>
      <c r="B45">
        <v>13125</v>
      </c>
      <c r="C45">
        <v>2832</v>
      </c>
    </row>
    <row r="46" spans="1:3" x14ac:dyDescent="0.35">
      <c r="A46" s="1">
        <v>45721</v>
      </c>
      <c r="B46">
        <v>11645</v>
      </c>
      <c r="C46">
        <v>1590.5</v>
      </c>
    </row>
    <row r="47" spans="1:3" x14ac:dyDescent="0.35">
      <c r="A47" s="1">
        <v>45722</v>
      </c>
      <c r="B47">
        <v>7390</v>
      </c>
      <c r="C47">
        <v>290</v>
      </c>
    </row>
    <row r="48" spans="1:3" x14ac:dyDescent="0.35">
      <c r="A48" s="1">
        <v>45723</v>
      </c>
      <c r="B48">
        <v>15980</v>
      </c>
      <c r="C48">
        <v>263</v>
      </c>
    </row>
    <row r="49" spans="1:3" x14ac:dyDescent="0.35">
      <c r="A49" s="1">
        <v>45726</v>
      </c>
      <c r="B49">
        <v>18740</v>
      </c>
      <c r="C49">
        <v>1447.5</v>
      </c>
    </row>
    <row r="50" spans="1:3" x14ac:dyDescent="0.35">
      <c r="A50" s="1">
        <v>45727</v>
      </c>
      <c r="B50">
        <v>15585</v>
      </c>
      <c r="C50">
        <v>791.5</v>
      </c>
    </row>
    <row r="51" spans="1:3" x14ac:dyDescent="0.35">
      <c r="A51" s="1">
        <v>45728</v>
      </c>
      <c r="B51">
        <v>12520</v>
      </c>
      <c r="C51">
        <v>1350</v>
      </c>
    </row>
    <row r="52" spans="1:3" x14ac:dyDescent="0.35">
      <c r="A52" s="1">
        <v>45729</v>
      </c>
      <c r="B52">
        <v>11445</v>
      </c>
      <c r="C52">
        <v>1205</v>
      </c>
    </row>
    <row r="53" spans="1:3" x14ac:dyDescent="0.35">
      <c r="A53" s="1">
        <v>45730</v>
      </c>
      <c r="B53">
        <v>12748</v>
      </c>
      <c r="C53">
        <v>2314.5</v>
      </c>
    </row>
    <row r="54" spans="1:3" x14ac:dyDescent="0.35">
      <c r="A54" s="1">
        <v>45733</v>
      </c>
      <c r="B54">
        <v>17030</v>
      </c>
      <c r="C54">
        <v>879</v>
      </c>
    </row>
    <row r="55" spans="1:3" x14ac:dyDescent="0.35">
      <c r="A55" s="1">
        <v>45734</v>
      </c>
      <c r="B55">
        <v>12955</v>
      </c>
      <c r="C55">
        <v>704</v>
      </c>
    </row>
    <row r="56" spans="1:3" x14ac:dyDescent="0.35">
      <c r="A56" s="1">
        <v>45735</v>
      </c>
      <c r="B56">
        <v>11120</v>
      </c>
      <c r="C56">
        <v>584.5</v>
      </c>
    </row>
    <row r="57" spans="1:3" x14ac:dyDescent="0.35">
      <c r="A57" s="1">
        <v>45736</v>
      </c>
      <c r="B57">
        <v>11865</v>
      </c>
      <c r="C57">
        <v>0</v>
      </c>
    </row>
    <row r="58" spans="1:3" x14ac:dyDescent="0.35">
      <c r="A58" s="1">
        <v>45737</v>
      </c>
      <c r="B58">
        <v>17130</v>
      </c>
      <c r="C58">
        <v>590</v>
      </c>
    </row>
    <row r="59" spans="1:3" x14ac:dyDescent="0.35">
      <c r="A59" s="1">
        <v>45740</v>
      </c>
      <c r="B59">
        <v>15225</v>
      </c>
      <c r="C59">
        <v>1061.5</v>
      </c>
    </row>
    <row r="60" spans="1:3" x14ac:dyDescent="0.35">
      <c r="A60" s="1">
        <v>45741</v>
      </c>
      <c r="B60">
        <v>10075</v>
      </c>
      <c r="C60">
        <v>641</v>
      </c>
    </row>
    <row r="61" spans="1:3" x14ac:dyDescent="0.35">
      <c r="A61" s="1">
        <v>45742</v>
      </c>
      <c r="B61">
        <v>10595</v>
      </c>
      <c r="C61">
        <v>376</v>
      </c>
    </row>
    <row r="62" spans="1:3" x14ac:dyDescent="0.35">
      <c r="A62" s="1">
        <v>45743</v>
      </c>
      <c r="B62">
        <v>8791</v>
      </c>
      <c r="C62">
        <v>238</v>
      </c>
    </row>
    <row r="63" spans="1:3" x14ac:dyDescent="0.35">
      <c r="A63" s="1">
        <v>45744</v>
      </c>
      <c r="B63">
        <v>11415</v>
      </c>
      <c r="C63">
        <v>1970</v>
      </c>
    </row>
    <row r="64" spans="1:3" x14ac:dyDescent="0.35">
      <c r="A64" s="1">
        <v>45747</v>
      </c>
      <c r="B64">
        <v>13958</v>
      </c>
      <c r="C64">
        <v>434</v>
      </c>
    </row>
    <row r="65" spans="1:3" x14ac:dyDescent="0.35">
      <c r="A65" s="1">
        <v>45748</v>
      </c>
      <c r="B65">
        <v>9440</v>
      </c>
      <c r="C65">
        <v>514.49</v>
      </c>
    </row>
    <row r="66" spans="1:3" x14ac:dyDescent="0.35">
      <c r="A66" s="1">
        <v>45749</v>
      </c>
      <c r="B66">
        <v>15295</v>
      </c>
      <c r="C66">
        <v>983.5</v>
      </c>
    </row>
    <row r="67" spans="1:3" x14ac:dyDescent="0.35">
      <c r="A67" s="1">
        <v>45750</v>
      </c>
      <c r="B67">
        <v>10985</v>
      </c>
      <c r="C67">
        <v>616.5</v>
      </c>
    </row>
    <row r="68" spans="1:3" x14ac:dyDescent="0.35">
      <c r="A68" s="1">
        <v>45751</v>
      </c>
      <c r="B68">
        <v>11670</v>
      </c>
      <c r="C68">
        <v>2923</v>
      </c>
    </row>
    <row r="69" spans="1:3" x14ac:dyDescent="0.35">
      <c r="A69" s="1">
        <v>45754</v>
      </c>
      <c r="B69">
        <v>21235</v>
      </c>
      <c r="C69">
        <v>927</v>
      </c>
    </row>
    <row r="70" spans="1:3" x14ac:dyDescent="0.35">
      <c r="A70" s="1">
        <v>45755</v>
      </c>
      <c r="B70">
        <v>10685</v>
      </c>
      <c r="C70">
        <v>968.91</v>
      </c>
    </row>
    <row r="71" spans="1:3" x14ac:dyDescent="0.35">
      <c r="A71" s="1">
        <v>45756</v>
      </c>
      <c r="B71">
        <v>12115</v>
      </c>
      <c r="C71">
        <v>575</v>
      </c>
    </row>
    <row r="72" spans="1:3" x14ac:dyDescent="0.35">
      <c r="A72" s="1">
        <v>45757</v>
      </c>
      <c r="B72">
        <v>9675</v>
      </c>
      <c r="C72">
        <v>370</v>
      </c>
    </row>
    <row r="73" spans="1:3" x14ac:dyDescent="0.35">
      <c r="A73" s="1">
        <v>45758</v>
      </c>
      <c r="B73">
        <v>12085</v>
      </c>
      <c r="C73">
        <v>1526.5</v>
      </c>
    </row>
    <row r="74" spans="1:3" x14ac:dyDescent="0.35">
      <c r="A74" s="1">
        <v>45761</v>
      </c>
      <c r="B74">
        <v>16882.5</v>
      </c>
      <c r="C74">
        <v>966</v>
      </c>
    </row>
    <row r="75" spans="1:3" x14ac:dyDescent="0.35">
      <c r="A75" s="1">
        <v>45762</v>
      </c>
      <c r="B75">
        <v>13135</v>
      </c>
      <c r="C75">
        <v>635</v>
      </c>
    </row>
    <row r="76" spans="1:3" x14ac:dyDescent="0.35">
      <c r="A76" s="1">
        <v>45763</v>
      </c>
      <c r="B76">
        <v>10515</v>
      </c>
      <c r="C76">
        <v>2568.5</v>
      </c>
    </row>
    <row r="77" spans="1:3" x14ac:dyDescent="0.35">
      <c r="A77" s="1">
        <v>45764</v>
      </c>
      <c r="B77">
        <v>12040</v>
      </c>
      <c r="C77">
        <v>678</v>
      </c>
    </row>
    <row r="78" spans="1:3" x14ac:dyDescent="0.35">
      <c r="A78" s="1">
        <v>45765</v>
      </c>
      <c r="B78">
        <v>13990</v>
      </c>
      <c r="C78">
        <v>404.5</v>
      </c>
    </row>
    <row r="79" spans="1:3" x14ac:dyDescent="0.35">
      <c r="A79" s="1">
        <v>45768</v>
      </c>
      <c r="B79">
        <v>17679.5</v>
      </c>
      <c r="C79">
        <v>1129</v>
      </c>
    </row>
    <row r="80" spans="1:3" x14ac:dyDescent="0.35">
      <c r="A80" s="1">
        <v>45769</v>
      </c>
      <c r="B80">
        <v>13460</v>
      </c>
      <c r="C80">
        <v>746</v>
      </c>
    </row>
    <row r="81" spans="1:3" x14ac:dyDescent="0.35">
      <c r="A81" s="1">
        <v>45770</v>
      </c>
      <c r="B81">
        <v>19725</v>
      </c>
      <c r="C81">
        <v>1009</v>
      </c>
    </row>
    <row r="82" spans="1:3" x14ac:dyDescent="0.35">
      <c r="A82" s="1">
        <v>45771</v>
      </c>
      <c r="B82">
        <v>8935</v>
      </c>
      <c r="C82">
        <v>1907</v>
      </c>
    </row>
    <row r="83" spans="1:3" x14ac:dyDescent="0.35">
      <c r="A83" s="1">
        <v>45772</v>
      </c>
      <c r="B83">
        <v>23919</v>
      </c>
      <c r="C83">
        <v>2192</v>
      </c>
    </row>
    <row r="84" spans="1:3" x14ac:dyDescent="0.35">
      <c r="A84" s="1">
        <v>45775</v>
      </c>
      <c r="B84">
        <v>14270</v>
      </c>
      <c r="C84">
        <v>627</v>
      </c>
    </row>
    <row r="85" spans="1:3" x14ac:dyDescent="0.35">
      <c r="A85" s="1">
        <v>45776</v>
      </c>
      <c r="B85">
        <v>14425</v>
      </c>
      <c r="C85">
        <v>1529</v>
      </c>
    </row>
    <row r="86" spans="1:3" x14ac:dyDescent="0.35">
      <c r="A86" s="1">
        <v>45777</v>
      </c>
      <c r="B86">
        <v>15540</v>
      </c>
      <c r="C86">
        <v>705</v>
      </c>
    </row>
    <row r="87" spans="1:3" x14ac:dyDescent="0.35">
      <c r="A87" s="1">
        <v>45778</v>
      </c>
      <c r="B87">
        <v>23440</v>
      </c>
      <c r="C87">
        <v>3096.5</v>
      </c>
    </row>
    <row r="88" spans="1:3" x14ac:dyDescent="0.35">
      <c r="A88" s="1">
        <v>45779</v>
      </c>
      <c r="B88">
        <v>23440</v>
      </c>
      <c r="C88">
        <v>3096.5</v>
      </c>
    </row>
    <row r="89" spans="1:3" x14ac:dyDescent="0.35">
      <c r="A89" s="1">
        <v>45782</v>
      </c>
      <c r="B89">
        <v>22830</v>
      </c>
      <c r="C89">
        <v>522</v>
      </c>
    </row>
    <row r="90" spans="1:3" x14ac:dyDescent="0.35">
      <c r="A90" s="1">
        <v>45783</v>
      </c>
      <c r="B90">
        <v>11450</v>
      </c>
      <c r="C90">
        <v>1554.5</v>
      </c>
    </row>
    <row r="91" spans="1:3" x14ac:dyDescent="0.35">
      <c r="A91" s="1">
        <v>45784</v>
      </c>
      <c r="B91">
        <v>13150</v>
      </c>
      <c r="C91">
        <v>2370</v>
      </c>
    </row>
    <row r="92" spans="1:3" x14ac:dyDescent="0.35">
      <c r="A92" s="1">
        <v>45785</v>
      </c>
      <c r="B92">
        <v>13390</v>
      </c>
      <c r="C92">
        <v>591</v>
      </c>
    </row>
    <row r="93" spans="1:3" x14ac:dyDescent="0.35">
      <c r="A93" s="1">
        <v>45786</v>
      </c>
      <c r="B93">
        <v>13190</v>
      </c>
      <c r="C93">
        <v>1602</v>
      </c>
    </row>
    <row r="94" spans="1:3" x14ac:dyDescent="0.35">
      <c r="A94" s="1">
        <v>45789</v>
      </c>
      <c r="B94">
        <v>17132</v>
      </c>
      <c r="C94">
        <v>592</v>
      </c>
    </row>
    <row r="95" spans="1:3" x14ac:dyDescent="0.35">
      <c r="A95" s="1">
        <v>45790</v>
      </c>
      <c r="B95">
        <v>13695</v>
      </c>
      <c r="C95">
        <v>596.33000000000004</v>
      </c>
    </row>
    <row r="96" spans="1:3" x14ac:dyDescent="0.35">
      <c r="A96" s="1">
        <v>45791</v>
      </c>
      <c r="B96">
        <v>12470</v>
      </c>
      <c r="C96">
        <v>595.5</v>
      </c>
    </row>
    <row r="97" spans="1:3" x14ac:dyDescent="0.35">
      <c r="A97" s="1">
        <v>45792</v>
      </c>
      <c r="B97">
        <v>9155</v>
      </c>
      <c r="C97">
        <v>2526</v>
      </c>
    </row>
    <row r="98" spans="1:3" x14ac:dyDescent="0.35">
      <c r="A98" s="1">
        <v>45793</v>
      </c>
      <c r="B98">
        <v>15380</v>
      </c>
      <c r="C98">
        <v>1588</v>
      </c>
    </row>
    <row r="99" spans="1:3" x14ac:dyDescent="0.35">
      <c r="A99" s="1">
        <v>45796</v>
      </c>
      <c r="B99">
        <v>13695</v>
      </c>
      <c r="C99">
        <v>831</v>
      </c>
    </row>
    <row r="100" spans="1:3" x14ac:dyDescent="0.35">
      <c r="A100" s="1">
        <v>45797</v>
      </c>
      <c r="B100">
        <v>12803</v>
      </c>
      <c r="C100">
        <v>1086</v>
      </c>
    </row>
    <row r="101" spans="1:3" x14ac:dyDescent="0.35">
      <c r="A101" s="1">
        <v>45798</v>
      </c>
      <c r="B101">
        <v>21327</v>
      </c>
      <c r="C101">
        <v>476</v>
      </c>
    </row>
    <row r="102" spans="1:3" x14ac:dyDescent="0.35">
      <c r="A102" s="1">
        <v>45799</v>
      </c>
      <c r="B102">
        <v>15660</v>
      </c>
      <c r="C102">
        <v>1710</v>
      </c>
    </row>
    <row r="103" spans="1:3" x14ac:dyDescent="0.35">
      <c r="A103" s="1">
        <v>45800</v>
      </c>
      <c r="B103">
        <v>15015</v>
      </c>
      <c r="C103">
        <v>791</v>
      </c>
    </row>
    <row r="104" spans="1:3" x14ac:dyDescent="0.35">
      <c r="A104" s="1">
        <v>45803</v>
      </c>
      <c r="B104">
        <v>13644</v>
      </c>
      <c r="C104">
        <v>517</v>
      </c>
    </row>
    <row r="105" spans="1:3" x14ac:dyDescent="0.35">
      <c r="A105" s="1">
        <v>45804</v>
      </c>
      <c r="B105">
        <v>15725</v>
      </c>
      <c r="C105">
        <v>3125</v>
      </c>
    </row>
    <row r="106" spans="1:3" x14ac:dyDescent="0.35">
      <c r="A106" s="1">
        <v>45805</v>
      </c>
      <c r="B106">
        <v>13520</v>
      </c>
      <c r="C106">
        <v>603</v>
      </c>
    </row>
    <row r="107" spans="1:3" x14ac:dyDescent="0.35">
      <c r="A107" s="1">
        <v>45806</v>
      </c>
      <c r="B107">
        <v>11287</v>
      </c>
      <c r="C107">
        <v>1159</v>
      </c>
    </row>
    <row r="108" spans="1:3" x14ac:dyDescent="0.35">
      <c r="A108" s="1">
        <v>45807</v>
      </c>
      <c r="B108">
        <v>20420</v>
      </c>
      <c r="C108">
        <v>601</v>
      </c>
    </row>
    <row r="109" spans="1:3" x14ac:dyDescent="0.35">
      <c r="A109" s="1">
        <v>45810</v>
      </c>
      <c r="B109">
        <v>17220</v>
      </c>
      <c r="C109">
        <v>658</v>
      </c>
    </row>
    <row r="110" spans="1:3" x14ac:dyDescent="0.35">
      <c r="A110" s="1">
        <v>45811</v>
      </c>
      <c r="B110">
        <v>12925</v>
      </c>
      <c r="C110">
        <v>645</v>
      </c>
    </row>
    <row r="111" spans="1:3" x14ac:dyDescent="0.35">
      <c r="A111" s="1">
        <v>45812</v>
      </c>
      <c r="B111">
        <v>11615</v>
      </c>
      <c r="C111">
        <v>729</v>
      </c>
    </row>
    <row r="112" spans="1:3" x14ac:dyDescent="0.35">
      <c r="A112" s="1">
        <v>45813</v>
      </c>
      <c r="B112">
        <v>12572</v>
      </c>
      <c r="C112">
        <v>840</v>
      </c>
    </row>
    <row r="113" spans="1:3" x14ac:dyDescent="0.35">
      <c r="A113" s="1">
        <v>45814</v>
      </c>
      <c r="B113">
        <v>22905</v>
      </c>
      <c r="C113">
        <v>781</v>
      </c>
    </row>
    <row r="114" spans="1:3" x14ac:dyDescent="0.35">
      <c r="A114" s="1">
        <v>45817</v>
      </c>
      <c r="B114">
        <v>13045</v>
      </c>
      <c r="C114">
        <v>1008</v>
      </c>
    </row>
    <row r="115" spans="1:3" x14ac:dyDescent="0.35">
      <c r="A115" s="1">
        <v>45818</v>
      </c>
      <c r="B115">
        <v>25705</v>
      </c>
      <c r="C115">
        <v>1064</v>
      </c>
    </row>
    <row r="116" spans="1:3" x14ac:dyDescent="0.35">
      <c r="A116" s="1">
        <v>45819</v>
      </c>
      <c r="B116">
        <v>10895</v>
      </c>
      <c r="C116">
        <v>1225</v>
      </c>
    </row>
    <row r="117" spans="1:3" x14ac:dyDescent="0.35">
      <c r="A117" s="1">
        <v>45820</v>
      </c>
      <c r="B117">
        <v>14675</v>
      </c>
      <c r="C117">
        <v>1672.1</v>
      </c>
    </row>
    <row r="118" spans="1:3" x14ac:dyDescent="0.35">
      <c r="A118" s="1">
        <v>45821</v>
      </c>
      <c r="B118">
        <v>16926</v>
      </c>
      <c r="C118">
        <v>1192.5</v>
      </c>
    </row>
    <row r="119" spans="1:3" x14ac:dyDescent="0.35">
      <c r="A119" s="1">
        <v>45824</v>
      </c>
      <c r="B119">
        <v>13231.5</v>
      </c>
      <c r="C119">
        <v>408.5</v>
      </c>
    </row>
    <row r="120" spans="1:3" x14ac:dyDescent="0.35">
      <c r="A120" s="1">
        <v>45825</v>
      </c>
      <c r="B120">
        <v>16105</v>
      </c>
      <c r="C120">
        <v>325</v>
      </c>
    </row>
    <row r="121" spans="1:3" x14ac:dyDescent="0.35">
      <c r="A121" s="1">
        <v>45826</v>
      </c>
      <c r="B121">
        <v>15982</v>
      </c>
      <c r="C121">
        <v>888.5</v>
      </c>
    </row>
    <row r="122" spans="1:3" x14ac:dyDescent="0.35">
      <c r="A122" s="1">
        <v>45827</v>
      </c>
      <c r="B122">
        <v>10590</v>
      </c>
      <c r="C122">
        <v>680</v>
      </c>
    </row>
    <row r="123" spans="1:3" x14ac:dyDescent="0.35">
      <c r="A123" s="1">
        <v>45828</v>
      </c>
      <c r="B123">
        <v>14405</v>
      </c>
      <c r="C123">
        <v>811</v>
      </c>
    </row>
    <row r="124" spans="1:3" x14ac:dyDescent="0.35">
      <c r="A124" s="1">
        <v>45831</v>
      </c>
      <c r="B124">
        <v>14135</v>
      </c>
      <c r="C124">
        <v>387</v>
      </c>
    </row>
    <row r="125" spans="1:3" x14ac:dyDescent="0.35">
      <c r="A125" s="1">
        <v>45832</v>
      </c>
      <c r="B125">
        <v>10395</v>
      </c>
      <c r="C125">
        <v>395</v>
      </c>
    </row>
    <row r="126" spans="1:3" x14ac:dyDescent="0.35">
      <c r="A126" s="1">
        <v>45833</v>
      </c>
      <c r="B126">
        <v>10755</v>
      </c>
      <c r="C126">
        <v>484</v>
      </c>
    </row>
    <row r="127" spans="1:3" x14ac:dyDescent="0.35">
      <c r="A127" s="1">
        <v>45834</v>
      </c>
      <c r="B127">
        <v>16379</v>
      </c>
      <c r="C127">
        <v>971</v>
      </c>
    </row>
    <row r="128" spans="1:3" x14ac:dyDescent="0.35">
      <c r="A128" s="1">
        <v>45835</v>
      </c>
      <c r="B128">
        <v>21746</v>
      </c>
      <c r="C128">
        <v>899</v>
      </c>
    </row>
    <row r="129" spans="1:3" x14ac:dyDescent="0.35">
      <c r="A129" s="1">
        <v>45838</v>
      </c>
      <c r="B129">
        <v>11681</v>
      </c>
      <c r="C129">
        <v>530</v>
      </c>
    </row>
    <row r="130" spans="1:3" x14ac:dyDescent="0.35">
      <c r="A130" s="1">
        <v>45839</v>
      </c>
      <c r="B130">
        <v>17812</v>
      </c>
      <c r="C130">
        <v>1006</v>
      </c>
    </row>
    <row r="131" spans="1:3" x14ac:dyDescent="0.35">
      <c r="A131" s="1">
        <v>45840</v>
      </c>
      <c r="B131">
        <v>13098</v>
      </c>
      <c r="C131">
        <v>1056</v>
      </c>
    </row>
    <row r="132" spans="1:3" x14ac:dyDescent="0.35">
      <c r="A132" s="1">
        <v>45841</v>
      </c>
      <c r="B132">
        <v>6955</v>
      </c>
      <c r="C132">
        <v>284</v>
      </c>
    </row>
    <row r="133" spans="1:3" x14ac:dyDescent="0.35">
      <c r="A133" s="1">
        <v>45842</v>
      </c>
      <c r="B133">
        <v>22030</v>
      </c>
      <c r="C133">
        <v>1141</v>
      </c>
    </row>
    <row r="134" spans="1:3" x14ac:dyDescent="0.35">
      <c r="A134" s="1">
        <v>45845</v>
      </c>
      <c r="B134">
        <v>16125</v>
      </c>
      <c r="C134">
        <v>1102.5</v>
      </c>
    </row>
    <row r="135" spans="1:3" x14ac:dyDescent="0.35">
      <c r="A135" s="1">
        <v>45846</v>
      </c>
      <c r="B135">
        <v>11435</v>
      </c>
      <c r="C135">
        <v>1187</v>
      </c>
    </row>
    <row r="136" spans="1:3" x14ac:dyDescent="0.35">
      <c r="A136" s="1">
        <v>45847</v>
      </c>
      <c r="B136">
        <v>14100</v>
      </c>
      <c r="C136">
        <v>1578.7</v>
      </c>
    </row>
    <row r="137" spans="1:3" x14ac:dyDescent="0.35">
      <c r="A137" s="1">
        <v>45848</v>
      </c>
      <c r="B137">
        <v>12225</v>
      </c>
      <c r="C137">
        <v>1331</v>
      </c>
    </row>
    <row r="138" spans="1:3" x14ac:dyDescent="0.35">
      <c r="A138" s="1">
        <v>45849</v>
      </c>
      <c r="B138">
        <v>21060</v>
      </c>
      <c r="C138">
        <v>963.5</v>
      </c>
    </row>
    <row r="139" spans="1:3" x14ac:dyDescent="0.35">
      <c r="A139" s="1">
        <v>45852</v>
      </c>
      <c r="B139">
        <v>16107</v>
      </c>
      <c r="C139">
        <v>510.5</v>
      </c>
    </row>
    <row r="140" spans="1:3" x14ac:dyDescent="0.35">
      <c r="A140" s="1">
        <v>45853</v>
      </c>
      <c r="B140">
        <v>6870</v>
      </c>
      <c r="C140">
        <v>714</v>
      </c>
    </row>
    <row r="141" spans="1:3" x14ac:dyDescent="0.35">
      <c r="A141" s="1">
        <v>45854</v>
      </c>
      <c r="B141">
        <v>11145</v>
      </c>
      <c r="C141">
        <v>702</v>
      </c>
    </row>
    <row r="142" spans="1:3" x14ac:dyDescent="0.35">
      <c r="A142" s="1">
        <v>45855</v>
      </c>
      <c r="B142">
        <v>14170</v>
      </c>
      <c r="C142">
        <v>1071</v>
      </c>
    </row>
    <row r="143" spans="1:3" x14ac:dyDescent="0.35">
      <c r="A143" s="1">
        <v>45856</v>
      </c>
      <c r="B143">
        <v>15470</v>
      </c>
      <c r="C143">
        <v>873</v>
      </c>
    </row>
    <row r="144" spans="1:3" x14ac:dyDescent="0.35">
      <c r="A144" s="1">
        <v>45859</v>
      </c>
      <c r="B144">
        <v>10565</v>
      </c>
      <c r="C144">
        <v>854</v>
      </c>
    </row>
    <row r="145" spans="1:3" x14ac:dyDescent="0.35">
      <c r="A145" s="1">
        <v>45860</v>
      </c>
      <c r="B145">
        <v>13470</v>
      </c>
      <c r="C145">
        <v>478.5</v>
      </c>
    </row>
    <row r="146" spans="1:3" x14ac:dyDescent="0.35">
      <c r="A146" s="1">
        <v>45861</v>
      </c>
      <c r="B146">
        <v>15770</v>
      </c>
      <c r="C146">
        <v>718</v>
      </c>
    </row>
    <row r="147" spans="1:3" x14ac:dyDescent="0.35">
      <c r="A147" s="1">
        <v>45862</v>
      </c>
      <c r="B147">
        <v>9865</v>
      </c>
      <c r="C147">
        <v>957</v>
      </c>
    </row>
    <row r="148" spans="1:3" x14ac:dyDescent="0.35">
      <c r="A148" s="1">
        <v>45863</v>
      </c>
      <c r="B148">
        <v>19583</v>
      </c>
      <c r="C148">
        <v>759.5</v>
      </c>
    </row>
    <row r="149" spans="1:3" x14ac:dyDescent="0.35">
      <c r="A149" s="1">
        <v>45866</v>
      </c>
      <c r="B149">
        <v>21715</v>
      </c>
      <c r="C149">
        <v>668.5</v>
      </c>
    </row>
    <row r="150" spans="1:3" x14ac:dyDescent="0.35">
      <c r="A150" s="1">
        <v>45867</v>
      </c>
      <c r="B150">
        <v>11744</v>
      </c>
      <c r="C150">
        <v>590</v>
      </c>
    </row>
    <row r="151" spans="1:3" x14ac:dyDescent="0.35">
      <c r="A151" s="1">
        <v>45868</v>
      </c>
      <c r="B151">
        <v>10720</v>
      </c>
      <c r="C151">
        <v>855</v>
      </c>
    </row>
    <row r="152" spans="1:3" x14ac:dyDescent="0.35">
      <c r="A152" s="1">
        <v>45869</v>
      </c>
      <c r="B152">
        <v>15225</v>
      </c>
      <c r="C152">
        <v>990</v>
      </c>
    </row>
    <row r="153" spans="1:3" x14ac:dyDescent="0.35">
      <c r="A153" s="1">
        <v>45870</v>
      </c>
      <c r="B153">
        <v>23718</v>
      </c>
      <c r="C153">
        <v>1888</v>
      </c>
    </row>
    <row r="154" spans="1:3" x14ac:dyDescent="0.35">
      <c r="A154" s="1">
        <v>45873</v>
      </c>
      <c r="B154">
        <v>22072</v>
      </c>
      <c r="C154">
        <v>856.5</v>
      </c>
    </row>
    <row r="155" spans="1:3" x14ac:dyDescent="0.35">
      <c r="A155" s="1">
        <v>45874</v>
      </c>
      <c r="B155">
        <v>16810</v>
      </c>
      <c r="C155">
        <v>916.5</v>
      </c>
    </row>
    <row r="156" spans="1:3" x14ac:dyDescent="0.35">
      <c r="A156" s="1">
        <v>45875</v>
      </c>
      <c r="B156">
        <v>18845</v>
      </c>
      <c r="C156">
        <v>1157</v>
      </c>
    </row>
    <row r="157" spans="1:3" x14ac:dyDescent="0.35">
      <c r="A157" s="1">
        <v>45876</v>
      </c>
      <c r="B157">
        <v>16460</v>
      </c>
      <c r="C157">
        <v>1667</v>
      </c>
    </row>
    <row r="158" spans="1:3" x14ac:dyDescent="0.35">
      <c r="A158" s="1">
        <v>45877</v>
      </c>
      <c r="B158">
        <v>22504</v>
      </c>
      <c r="C158">
        <v>1035</v>
      </c>
    </row>
    <row r="159" spans="1:3" x14ac:dyDescent="0.35">
      <c r="A159" s="1">
        <v>45880</v>
      </c>
      <c r="B159">
        <v>12820</v>
      </c>
      <c r="C159">
        <v>1231</v>
      </c>
    </row>
    <row r="160" spans="1:3" x14ac:dyDescent="0.35">
      <c r="A160" s="1">
        <v>45881</v>
      </c>
      <c r="B160">
        <v>12955</v>
      </c>
      <c r="C160">
        <v>1692.8</v>
      </c>
    </row>
    <row r="161" spans="1:3" x14ac:dyDescent="0.35">
      <c r="A161" s="1">
        <v>45882</v>
      </c>
      <c r="B161">
        <v>11602</v>
      </c>
      <c r="C161">
        <v>812.5</v>
      </c>
    </row>
    <row r="162" spans="1:3" x14ac:dyDescent="0.35">
      <c r="A162" s="1">
        <v>45883</v>
      </c>
      <c r="B162">
        <v>16008</v>
      </c>
      <c r="C162">
        <v>1135</v>
      </c>
    </row>
    <row r="163" spans="1:3" x14ac:dyDescent="0.35">
      <c r="A163" s="1">
        <v>45884</v>
      </c>
      <c r="B163">
        <v>23269</v>
      </c>
      <c r="C163">
        <v>1444</v>
      </c>
    </row>
    <row r="164" spans="1:3" x14ac:dyDescent="0.35">
      <c r="A164" s="1">
        <v>45887</v>
      </c>
      <c r="B164">
        <v>14217.5</v>
      </c>
      <c r="C164">
        <v>1501.5</v>
      </c>
    </row>
    <row r="165" spans="1:3" x14ac:dyDescent="0.35">
      <c r="A165" s="1">
        <v>45888</v>
      </c>
      <c r="B165">
        <v>14475</v>
      </c>
      <c r="C165">
        <v>662</v>
      </c>
    </row>
    <row r="166" spans="1:3" x14ac:dyDescent="0.35">
      <c r="A166" s="1">
        <v>45889</v>
      </c>
      <c r="B166">
        <v>10201</v>
      </c>
      <c r="C166">
        <v>708</v>
      </c>
    </row>
    <row r="167" spans="1:3" x14ac:dyDescent="0.35">
      <c r="A167" s="1">
        <v>45890</v>
      </c>
      <c r="B167">
        <v>9600</v>
      </c>
      <c r="C167">
        <v>950.5</v>
      </c>
    </row>
    <row r="168" spans="1:3" x14ac:dyDescent="0.35">
      <c r="A168" s="1">
        <v>45891</v>
      </c>
      <c r="B168">
        <v>15782</v>
      </c>
      <c r="C168">
        <v>958</v>
      </c>
    </row>
    <row r="169" spans="1:3" x14ac:dyDescent="0.35">
      <c r="A169" s="1">
        <v>45894</v>
      </c>
      <c r="B169">
        <v>20190</v>
      </c>
      <c r="C169">
        <v>639</v>
      </c>
    </row>
    <row r="170" spans="1:3" x14ac:dyDescent="0.35">
      <c r="A170" s="1">
        <v>45895</v>
      </c>
      <c r="B170">
        <v>12530</v>
      </c>
      <c r="C170">
        <v>547</v>
      </c>
    </row>
    <row r="171" spans="1:3" x14ac:dyDescent="0.35">
      <c r="A171" s="1">
        <v>45896</v>
      </c>
      <c r="B171">
        <v>17314</v>
      </c>
      <c r="C171">
        <v>750</v>
      </c>
    </row>
    <row r="172" spans="1:3" x14ac:dyDescent="0.35">
      <c r="A172" s="1">
        <v>45897</v>
      </c>
      <c r="B172">
        <v>15950</v>
      </c>
      <c r="C172">
        <v>1077</v>
      </c>
    </row>
    <row r="173" spans="1:3" x14ac:dyDescent="0.35">
      <c r="A173" s="1">
        <v>45898</v>
      </c>
      <c r="B173">
        <v>19480</v>
      </c>
      <c r="C173">
        <v>950</v>
      </c>
    </row>
    <row r="174" spans="1:3" x14ac:dyDescent="0.35">
      <c r="A174" s="1">
        <v>45901</v>
      </c>
      <c r="B174">
        <v>9805</v>
      </c>
      <c r="C174">
        <v>662</v>
      </c>
    </row>
    <row r="175" spans="1:3" x14ac:dyDescent="0.35">
      <c r="A175" s="1">
        <v>45902</v>
      </c>
      <c r="B175">
        <v>1925</v>
      </c>
      <c r="C175">
        <v>772</v>
      </c>
    </row>
    <row r="176" spans="1:3" x14ac:dyDescent="0.35">
      <c r="A176" s="1">
        <v>45903</v>
      </c>
      <c r="B176">
        <v>14045</v>
      </c>
      <c r="C176">
        <v>1003.8</v>
      </c>
    </row>
    <row r="177" spans="1:3" x14ac:dyDescent="0.35">
      <c r="A177" s="1">
        <v>45904</v>
      </c>
      <c r="B177">
        <v>12595</v>
      </c>
      <c r="C177">
        <v>1202</v>
      </c>
    </row>
    <row r="178" spans="1:3" x14ac:dyDescent="0.35">
      <c r="A178" s="1">
        <v>45905</v>
      </c>
      <c r="B178">
        <v>30545</v>
      </c>
      <c r="C178">
        <v>1437</v>
      </c>
    </row>
    <row r="179" spans="1:3" x14ac:dyDescent="0.35">
      <c r="A179" s="1">
        <v>45908</v>
      </c>
      <c r="B179">
        <v>13550</v>
      </c>
      <c r="C179">
        <v>610</v>
      </c>
    </row>
    <row r="180" spans="1:3" x14ac:dyDescent="0.35">
      <c r="A180" s="1">
        <v>45909</v>
      </c>
      <c r="B180">
        <v>14770</v>
      </c>
      <c r="C180">
        <v>770</v>
      </c>
    </row>
    <row r="181" spans="1:3" x14ac:dyDescent="0.35">
      <c r="A181" s="1">
        <v>45910</v>
      </c>
      <c r="B181">
        <v>8507</v>
      </c>
      <c r="C181">
        <v>551</v>
      </c>
    </row>
    <row r="182" spans="1:3" x14ac:dyDescent="0.35">
      <c r="A182" s="1">
        <v>45911</v>
      </c>
      <c r="B182">
        <v>11250</v>
      </c>
      <c r="C182">
        <v>1173</v>
      </c>
    </row>
    <row r="183" spans="1:3" x14ac:dyDescent="0.35">
      <c r="A183" s="1">
        <v>45912</v>
      </c>
      <c r="B183">
        <v>24186</v>
      </c>
      <c r="C183">
        <v>786</v>
      </c>
    </row>
    <row r="184" spans="1:3" x14ac:dyDescent="0.35">
      <c r="A184" s="1">
        <v>45915</v>
      </c>
      <c r="B184">
        <v>11225</v>
      </c>
      <c r="C184">
        <v>809</v>
      </c>
    </row>
    <row r="185" spans="1:3" x14ac:dyDescent="0.35">
      <c r="A185" s="1">
        <v>45916</v>
      </c>
      <c r="B185">
        <v>10535</v>
      </c>
      <c r="C185">
        <v>529</v>
      </c>
    </row>
    <row r="186" spans="1:3" x14ac:dyDescent="0.35">
      <c r="A186" s="1">
        <v>45917</v>
      </c>
      <c r="B186">
        <v>15230</v>
      </c>
      <c r="C186">
        <v>797.5</v>
      </c>
    </row>
    <row r="187" spans="1:3" x14ac:dyDescent="0.35">
      <c r="A187" s="1">
        <v>45918</v>
      </c>
      <c r="B187">
        <v>9425</v>
      </c>
      <c r="C187">
        <v>527</v>
      </c>
    </row>
    <row r="188" spans="1:3" x14ac:dyDescent="0.35">
      <c r="A188" s="1">
        <v>45919</v>
      </c>
      <c r="B188">
        <v>18425</v>
      </c>
      <c r="C188">
        <v>370.5</v>
      </c>
    </row>
    <row r="189" spans="1:3" x14ac:dyDescent="0.35">
      <c r="A189" s="1">
        <v>45922</v>
      </c>
      <c r="B189">
        <v>19315</v>
      </c>
      <c r="C189">
        <v>795</v>
      </c>
    </row>
    <row r="190" spans="1:3" x14ac:dyDescent="0.35">
      <c r="A190" s="1">
        <v>45923</v>
      </c>
      <c r="B190">
        <v>15499</v>
      </c>
      <c r="C190">
        <v>595.5</v>
      </c>
    </row>
    <row r="191" spans="1:3" x14ac:dyDescent="0.35">
      <c r="A191" s="1">
        <v>45924</v>
      </c>
      <c r="B191">
        <v>15158</v>
      </c>
      <c r="C191">
        <v>470</v>
      </c>
    </row>
    <row r="192" spans="1:3" x14ac:dyDescent="0.35">
      <c r="A192" s="1">
        <v>45925</v>
      </c>
      <c r="B192">
        <v>10770</v>
      </c>
      <c r="C192">
        <v>1051.5</v>
      </c>
    </row>
    <row r="193" spans="1:3" x14ac:dyDescent="0.35">
      <c r="A193" s="1">
        <v>45926</v>
      </c>
      <c r="B193">
        <v>18335</v>
      </c>
      <c r="C193">
        <v>874</v>
      </c>
    </row>
    <row r="194" spans="1:3" x14ac:dyDescent="0.35">
      <c r="A194" s="1">
        <v>45929</v>
      </c>
      <c r="B194">
        <v>19135</v>
      </c>
      <c r="C194">
        <v>727.5</v>
      </c>
    </row>
    <row r="195" spans="1:3" x14ac:dyDescent="0.35">
      <c r="A195" s="1">
        <v>45930</v>
      </c>
      <c r="B195">
        <v>13940</v>
      </c>
      <c r="C195">
        <v>596</v>
      </c>
    </row>
    <row r="196" spans="1:3" x14ac:dyDescent="0.35">
      <c r="A196" s="1">
        <v>45931</v>
      </c>
      <c r="B196">
        <v>19520</v>
      </c>
      <c r="C196">
        <v>869.5</v>
      </c>
    </row>
    <row r="197" spans="1:3" x14ac:dyDescent="0.35">
      <c r="A197" s="1">
        <v>45932</v>
      </c>
      <c r="B197">
        <v>16485</v>
      </c>
      <c r="C197">
        <v>584</v>
      </c>
    </row>
    <row r="198" spans="1:3" x14ac:dyDescent="0.35">
      <c r="A198" s="1">
        <v>45933</v>
      </c>
      <c r="B198">
        <v>17990</v>
      </c>
      <c r="C198">
        <v>746</v>
      </c>
    </row>
    <row r="199" spans="1:3" x14ac:dyDescent="0.35">
      <c r="A199" s="1">
        <v>45936</v>
      </c>
      <c r="B199">
        <v>18305</v>
      </c>
      <c r="C199">
        <v>873</v>
      </c>
    </row>
    <row r="200" spans="1:3" x14ac:dyDescent="0.35">
      <c r="A200" s="1">
        <v>45937</v>
      </c>
      <c r="B200">
        <v>7955</v>
      </c>
      <c r="C200">
        <v>502</v>
      </c>
    </row>
    <row r="201" spans="1:3" x14ac:dyDescent="0.35">
      <c r="A201" s="1">
        <v>45938</v>
      </c>
      <c r="B201">
        <v>12145</v>
      </c>
      <c r="C201">
        <v>659.5</v>
      </c>
    </row>
    <row r="202" spans="1:3" x14ac:dyDescent="0.35">
      <c r="A202" s="1">
        <v>45939</v>
      </c>
      <c r="B202">
        <v>15195</v>
      </c>
      <c r="C202">
        <v>1359</v>
      </c>
    </row>
    <row r="203" spans="1:3" x14ac:dyDescent="0.35">
      <c r="A203" s="1">
        <v>45940</v>
      </c>
      <c r="B203">
        <v>23280</v>
      </c>
      <c r="C203">
        <v>626</v>
      </c>
    </row>
    <row r="204" spans="1:3" x14ac:dyDescent="0.35">
      <c r="A204" s="1">
        <v>45943</v>
      </c>
      <c r="B204">
        <v>15885</v>
      </c>
      <c r="C204">
        <v>601.5</v>
      </c>
    </row>
    <row r="205" spans="1:3" x14ac:dyDescent="0.35">
      <c r="A205" s="1">
        <v>45944</v>
      </c>
      <c r="B205">
        <v>11150</v>
      </c>
      <c r="C205">
        <v>896.1</v>
      </c>
    </row>
    <row r="206" spans="1:3" x14ac:dyDescent="0.35">
      <c r="A206" s="1">
        <v>45945</v>
      </c>
      <c r="B206">
        <v>14225</v>
      </c>
      <c r="C206">
        <v>1044.5</v>
      </c>
    </row>
    <row r="207" spans="1:3" x14ac:dyDescent="0.35">
      <c r="A207" s="1">
        <v>45946</v>
      </c>
      <c r="B207">
        <v>18350</v>
      </c>
      <c r="C207">
        <v>968</v>
      </c>
    </row>
    <row r="208" spans="1:3" x14ac:dyDescent="0.35">
      <c r="A208" s="1">
        <v>45947</v>
      </c>
      <c r="B208">
        <v>14445</v>
      </c>
      <c r="C208">
        <v>1686.5</v>
      </c>
    </row>
    <row r="209" spans="1:3" x14ac:dyDescent="0.35">
      <c r="A209" s="1">
        <v>45950</v>
      </c>
      <c r="B209">
        <v>15270</v>
      </c>
      <c r="C209">
        <v>843</v>
      </c>
    </row>
    <row r="210" spans="1:3" x14ac:dyDescent="0.35">
      <c r="A210" s="1">
        <v>45951</v>
      </c>
      <c r="B210">
        <v>13210</v>
      </c>
      <c r="C210">
        <v>647</v>
      </c>
    </row>
    <row r="211" spans="1:3" x14ac:dyDescent="0.35">
      <c r="A211" s="1">
        <v>45952</v>
      </c>
      <c r="B211">
        <v>13250</v>
      </c>
      <c r="C211">
        <v>380</v>
      </c>
    </row>
    <row r="212" spans="1:3" x14ac:dyDescent="0.35">
      <c r="A212" s="1">
        <v>45953</v>
      </c>
      <c r="B212">
        <v>14325</v>
      </c>
      <c r="C212">
        <v>696</v>
      </c>
    </row>
    <row r="213" spans="1:3" x14ac:dyDescent="0.35">
      <c r="A213" s="1">
        <v>45954</v>
      </c>
      <c r="B213">
        <v>20310</v>
      </c>
      <c r="C213">
        <v>1318.5</v>
      </c>
    </row>
    <row r="214" spans="1:3" x14ac:dyDescent="0.35">
      <c r="A214" s="1">
        <v>45957</v>
      </c>
      <c r="B214">
        <v>14830</v>
      </c>
      <c r="C214">
        <v>590</v>
      </c>
    </row>
    <row r="215" spans="1:3" x14ac:dyDescent="0.35">
      <c r="A215" s="1">
        <v>45958</v>
      </c>
      <c r="B215">
        <v>17935</v>
      </c>
      <c r="C215">
        <v>949</v>
      </c>
    </row>
    <row r="216" spans="1:3" x14ac:dyDescent="0.35">
      <c r="A216" s="1">
        <v>45959</v>
      </c>
      <c r="B216">
        <v>12020</v>
      </c>
      <c r="C216">
        <v>801</v>
      </c>
    </row>
    <row r="217" spans="1:3" x14ac:dyDescent="0.35">
      <c r="A217" s="1">
        <v>45960</v>
      </c>
      <c r="B217">
        <v>14195</v>
      </c>
      <c r="C217">
        <v>1413.5</v>
      </c>
    </row>
    <row r="218" spans="1:3" x14ac:dyDescent="0.35">
      <c r="A218" s="1">
        <v>45961</v>
      </c>
      <c r="B218">
        <v>24335</v>
      </c>
      <c r="C218">
        <v>1081.5</v>
      </c>
    </row>
    <row r="219" spans="1:3" x14ac:dyDescent="0.35">
      <c r="A219" s="1">
        <v>45964</v>
      </c>
      <c r="B219">
        <v>20395</v>
      </c>
      <c r="C219">
        <v>527</v>
      </c>
    </row>
    <row r="220" spans="1:3" x14ac:dyDescent="0.35">
      <c r="A220" s="1">
        <v>45965</v>
      </c>
      <c r="B220">
        <v>17470</v>
      </c>
      <c r="C220">
        <v>1258</v>
      </c>
    </row>
    <row r="221" spans="1:3" x14ac:dyDescent="0.35">
      <c r="A221" s="1">
        <v>45966</v>
      </c>
      <c r="B221">
        <v>15900</v>
      </c>
      <c r="C221">
        <v>769</v>
      </c>
    </row>
    <row r="222" spans="1:3" x14ac:dyDescent="0.35">
      <c r="A222" s="1">
        <v>45967</v>
      </c>
      <c r="B222">
        <v>17040</v>
      </c>
      <c r="C222">
        <v>1097</v>
      </c>
    </row>
    <row r="223" spans="1:3" x14ac:dyDescent="0.35">
      <c r="A223" s="1">
        <v>45968</v>
      </c>
      <c r="B223">
        <v>20505</v>
      </c>
      <c r="C223">
        <v>1158</v>
      </c>
    </row>
    <row r="224" spans="1:3" x14ac:dyDescent="0.35">
      <c r="A224" s="1">
        <v>45971</v>
      </c>
      <c r="B224">
        <v>17835</v>
      </c>
      <c r="C224">
        <v>1032</v>
      </c>
    </row>
    <row r="225" spans="1:3" x14ac:dyDescent="0.35">
      <c r="A225" s="1">
        <v>45972</v>
      </c>
      <c r="B225">
        <v>18880</v>
      </c>
      <c r="C225">
        <v>799</v>
      </c>
    </row>
    <row r="226" spans="1:3" x14ac:dyDescent="0.35">
      <c r="A226" s="1">
        <v>45973</v>
      </c>
      <c r="B226">
        <v>17470</v>
      </c>
      <c r="C226">
        <v>990.6</v>
      </c>
    </row>
    <row r="227" spans="1:3" x14ac:dyDescent="0.35">
      <c r="A227" s="1">
        <v>45974</v>
      </c>
      <c r="B227">
        <v>13655</v>
      </c>
      <c r="C227">
        <v>1168.5</v>
      </c>
    </row>
    <row r="228" spans="1:3" x14ac:dyDescent="0.35">
      <c r="A228" s="1">
        <v>45975</v>
      </c>
      <c r="B228">
        <v>20790</v>
      </c>
      <c r="C228">
        <v>933</v>
      </c>
    </row>
    <row r="229" spans="1:3" x14ac:dyDescent="0.35">
      <c r="A229" s="1">
        <v>45978</v>
      </c>
      <c r="B229">
        <v>17241</v>
      </c>
      <c r="C229">
        <v>1197</v>
      </c>
    </row>
    <row r="230" spans="1:3" x14ac:dyDescent="0.35">
      <c r="A230" s="1">
        <v>45979</v>
      </c>
      <c r="B230">
        <v>18615</v>
      </c>
      <c r="C230">
        <v>1202</v>
      </c>
    </row>
    <row r="231" spans="1:3" x14ac:dyDescent="0.35">
      <c r="A231" s="1">
        <v>45980</v>
      </c>
      <c r="B231">
        <v>22090</v>
      </c>
      <c r="C231">
        <v>2050</v>
      </c>
    </row>
    <row r="232" spans="1:3" x14ac:dyDescent="0.35">
      <c r="A232" s="1">
        <v>45981</v>
      </c>
      <c r="B232">
        <v>11255</v>
      </c>
      <c r="C232">
        <v>1058</v>
      </c>
    </row>
    <row r="233" spans="1:3" x14ac:dyDescent="0.35">
      <c r="A233" s="1">
        <v>45982</v>
      </c>
      <c r="B233">
        <v>20590</v>
      </c>
      <c r="C233">
        <v>1144</v>
      </c>
    </row>
    <row r="234" spans="1:3" x14ac:dyDescent="0.35">
      <c r="A234" s="1">
        <v>45985</v>
      </c>
      <c r="B234">
        <v>15160</v>
      </c>
      <c r="C234">
        <v>728</v>
      </c>
    </row>
    <row r="235" spans="1:3" x14ac:dyDescent="0.35">
      <c r="A235" s="1">
        <v>45986</v>
      </c>
      <c r="B235">
        <v>16800</v>
      </c>
      <c r="C235">
        <v>491</v>
      </c>
    </row>
    <row r="236" spans="1:3" x14ac:dyDescent="0.35">
      <c r="A236" s="1">
        <v>45987</v>
      </c>
      <c r="B236">
        <v>18025</v>
      </c>
      <c r="C236">
        <v>1421</v>
      </c>
    </row>
    <row r="237" spans="1:3" x14ac:dyDescent="0.35">
      <c r="A237" s="1">
        <v>45988</v>
      </c>
      <c r="B237">
        <v>15890</v>
      </c>
      <c r="C237">
        <v>853</v>
      </c>
    </row>
    <row r="238" spans="1:3" x14ac:dyDescent="0.35">
      <c r="A238" s="1">
        <v>45989</v>
      </c>
      <c r="B238">
        <v>30115</v>
      </c>
      <c r="C238">
        <v>1560.5</v>
      </c>
    </row>
    <row r="239" spans="1:3" x14ac:dyDescent="0.35">
      <c r="A239" s="1">
        <v>45992</v>
      </c>
      <c r="B239">
        <v>18455</v>
      </c>
      <c r="C239">
        <v>1174</v>
      </c>
    </row>
    <row r="240" spans="1:3" x14ac:dyDescent="0.35">
      <c r="A240" s="1">
        <v>45993</v>
      </c>
      <c r="B240">
        <v>17250</v>
      </c>
      <c r="C240">
        <v>1018.5</v>
      </c>
    </row>
    <row r="241" spans="1:3" x14ac:dyDescent="0.35">
      <c r="A241" s="1">
        <v>45994</v>
      </c>
      <c r="B241">
        <v>21675</v>
      </c>
      <c r="C241">
        <v>874</v>
      </c>
    </row>
    <row r="242" spans="1:3" x14ac:dyDescent="0.35">
      <c r="A242" s="1">
        <v>45995</v>
      </c>
      <c r="B242">
        <v>16360</v>
      </c>
      <c r="C242">
        <v>1237.5</v>
      </c>
    </row>
    <row r="243" spans="1:3" x14ac:dyDescent="0.35">
      <c r="A243" s="1">
        <v>45996</v>
      </c>
      <c r="B243">
        <v>23425</v>
      </c>
      <c r="C243">
        <v>938</v>
      </c>
    </row>
    <row r="244" spans="1:3" x14ac:dyDescent="0.35">
      <c r="A244" s="1">
        <v>45999</v>
      </c>
      <c r="B244">
        <v>18978</v>
      </c>
      <c r="C244">
        <v>855</v>
      </c>
    </row>
    <row r="245" spans="1:3" x14ac:dyDescent="0.35">
      <c r="A245" s="1">
        <v>46000</v>
      </c>
      <c r="B245">
        <v>20830</v>
      </c>
      <c r="C245">
        <v>288</v>
      </c>
    </row>
    <row r="246" spans="1:3" x14ac:dyDescent="0.35">
      <c r="A246" s="1">
        <v>46001</v>
      </c>
      <c r="B246">
        <v>15370</v>
      </c>
      <c r="C246">
        <v>369</v>
      </c>
    </row>
    <row r="247" spans="1:3" x14ac:dyDescent="0.35">
      <c r="A247" s="1">
        <v>46002</v>
      </c>
      <c r="B247">
        <v>16835</v>
      </c>
      <c r="C247">
        <v>1249.5</v>
      </c>
    </row>
    <row r="248" spans="1:3" x14ac:dyDescent="0.35">
      <c r="A248" s="1">
        <v>46003</v>
      </c>
      <c r="B248">
        <v>17335</v>
      </c>
      <c r="C248">
        <v>1940.4</v>
      </c>
    </row>
    <row r="249" spans="1:3" x14ac:dyDescent="0.35">
      <c r="A249" s="1">
        <v>46006</v>
      </c>
      <c r="B249">
        <v>20035</v>
      </c>
      <c r="C249">
        <v>1053.5</v>
      </c>
    </row>
    <row r="250" spans="1:3" x14ac:dyDescent="0.35">
      <c r="A250" s="1">
        <v>46007</v>
      </c>
      <c r="B250">
        <v>18525</v>
      </c>
      <c r="C250">
        <v>1157</v>
      </c>
    </row>
    <row r="251" spans="1:3" x14ac:dyDescent="0.35">
      <c r="A251" s="1">
        <v>46008</v>
      </c>
      <c r="B251">
        <v>10310</v>
      </c>
      <c r="C251">
        <v>1009</v>
      </c>
    </row>
    <row r="252" spans="1:3" x14ac:dyDescent="0.35">
      <c r="A252" s="1">
        <v>46009</v>
      </c>
      <c r="B252">
        <v>12055</v>
      </c>
      <c r="C252">
        <v>873.5</v>
      </c>
    </row>
    <row r="253" spans="1:3" x14ac:dyDescent="0.35">
      <c r="A253" s="1">
        <v>46010</v>
      </c>
      <c r="B253">
        <v>19880</v>
      </c>
      <c r="C253">
        <v>691</v>
      </c>
    </row>
    <row r="254" spans="1:3" x14ac:dyDescent="0.35">
      <c r="A254" s="1">
        <v>46013</v>
      </c>
      <c r="B254">
        <v>16915</v>
      </c>
      <c r="C254">
        <v>409</v>
      </c>
    </row>
    <row r="255" spans="1:3" x14ac:dyDescent="0.35">
      <c r="A255" s="1">
        <v>46014</v>
      </c>
      <c r="B255">
        <v>12385</v>
      </c>
      <c r="C255">
        <v>437</v>
      </c>
    </row>
    <row r="256" spans="1:3" x14ac:dyDescent="0.35">
      <c r="A256" s="1">
        <v>46015</v>
      </c>
      <c r="B256">
        <v>26735</v>
      </c>
      <c r="C256">
        <v>632</v>
      </c>
    </row>
    <row r="257" spans="1:3" x14ac:dyDescent="0.35">
      <c r="A257" s="1">
        <v>46020</v>
      </c>
      <c r="B257">
        <v>16950</v>
      </c>
      <c r="C257">
        <v>748</v>
      </c>
    </row>
    <row r="258" spans="1:3" x14ac:dyDescent="0.35">
      <c r="A258" s="1">
        <v>46021</v>
      </c>
      <c r="B258">
        <v>1720</v>
      </c>
      <c r="C258">
        <v>926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2698-B95C-4B54-9FC6-0FFE64C7247F}">
  <dimension ref="A1:O258"/>
  <sheetViews>
    <sheetView topLeftCell="B81" workbookViewId="0">
      <selection activeCell="M9" sqref="M9"/>
    </sheetView>
  </sheetViews>
  <sheetFormatPr defaultRowHeight="14.5" x14ac:dyDescent="0.35"/>
  <cols>
    <col min="1" max="1" width="10.08984375" bestFit="1" customWidth="1"/>
    <col min="2" max="2" width="7.81640625" bestFit="1" customWidth="1"/>
    <col min="3" max="3" width="11" bestFit="1" customWidth="1"/>
    <col min="4" max="4" width="8.81640625" bestFit="1" customWidth="1"/>
    <col min="5" max="5" width="14.08984375" style="6" bestFit="1" customWidth="1"/>
    <col min="6" max="6" width="12" bestFit="1" customWidth="1"/>
    <col min="7" max="7" width="14.08984375" bestFit="1" customWidth="1"/>
    <col min="8" max="8" width="9.36328125" bestFit="1" customWidth="1"/>
    <col min="9" max="9" width="13.81640625" bestFit="1" customWidth="1"/>
    <col min="10" max="10" width="7.7265625" bestFit="1" customWidth="1"/>
    <col min="14" max="14" width="12.453125" bestFit="1" customWidth="1"/>
    <col min="15" max="15" width="11.54296875" bestFit="1" customWidth="1"/>
    <col min="16" max="39" width="4.81640625" bestFit="1" customWidth="1"/>
    <col min="40" max="49" width="5.81640625" bestFit="1" customWidth="1"/>
    <col min="50" max="50" width="7.81640625" bestFit="1" customWidth="1"/>
    <col min="51" max="114" width="5.81640625" bestFit="1" customWidth="1"/>
    <col min="115" max="115" width="7.81640625" bestFit="1" customWidth="1"/>
    <col min="116" max="137" width="5.81640625" bestFit="1" customWidth="1"/>
    <col min="138" max="138" width="7.81640625" bestFit="1" customWidth="1"/>
    <col min="139" max="187" width="5.81640625" bestFit="1" customWidth="1"/>
    <col min="188" max="188" width="7.81640625" bestFit="1" customWidth="1"/>
    <col min="189" max="202" width="5.81640625" bestFit="1" customWidth="1"/>
    <col min="203" max="203" width="7.81640625" bestFit="1" customWidth="1"/>
    <col min="204" max="265" width="5.81640625" bestFit="1" customWidth="1"/>
    <col min="266" max="266" width="10.36328125" bestFit="1" customWidth="1"/>
  </cols>
  <sheetData>
    <row r="1" spans="1:13" x14ac:dyDescent="0.35">
      <c r="A1" t="s">
        <v>0</v>
      </c>
      <c r="B1" t="s">
        <v>3</v>
      </c>
      <c r="C1" t="s">
        <v>4</v>
      </c>
      <c r="D1" t="s">
        <v>5</v>
      </c>
      <c r="E1" s="6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3" x14ac:dyDescent="0.35">
      <c r="A2" s="1">
        <v>45931</v>
      </c>
      <c r="B2">
        <v>19520</v>
      </c>
      <c r="C2">
        <v>869.5</v>
      </c>
      <c r="D2">
        <v>18650.5</v>
      </c>
      <c r="E2" s="6">
        <v>0.95545594262295097</v>
      </c>
      <c r="F2" t="s">
        <v>18</v>
      </c>
      <c r="G2" t="s">
        <v>29</v>
      </c>
      <c r="H2" t="s">
        <v>30</v>
      </c>
      <c r="I2">
        <v>40</v>
      </c>
      <c r="J2">
        <v>195</v>
      </c>
    </row>
    <row r="3" spans="1:13" x14ac:dyDescent="0.35">
      <c r="A3" s="1">
        <v>45932</v>
      </c>
      <c r="B3">
        <v>16485</v>
      </c>
      <c r="C3">
        <v>584</v>
      </c>
      <c r="D3">
        <v>15901</v>
      </c>
      <c r="E3" s="6">
        <v>0.96457385501971504</v>
      </c>
      <c r="F3" t="s">
        <v>12</v>
      </c>
      <c r="G3" t="s">
        <v>29</v>
      </c>
      <c r="H3" t="s">
        <v>30</v>
      </c>
      <c r="I3">
        <v>40</v>
      </c>
      <c r="J3">
        <v>196</v>
      </c>
    </row>
    <row r="4" spans="1:13" x14ac:dyDescent="0.35">
      <c r="A4" s="1">
        <v>45933</v>
      </c>
      <c r="B4">
        <v>17990</v>
      </c>
      <c r="C4">
        <v>746</v>
      </c>
      <c r="D4">
        <v>17244</v>
      </c>
      <c r="E4" s="6">
        <v>0.95853251806559203</v>
      </c>
      <c r="F4" t="s">
        <v>15</v>
      </c>
      <c r="G4" t="s">
        <v>29</v>
      </c>
      <c r="H4" t="s">
        <v>30</v>
      </c>
      <c r="I4">
        <v>40</v>
      </c>
      <c r="J4">
        <v>197</v>
      </c>
    </row>
    <row r="5" spans="1:13" x14ac:dyDescent="0.35">
      <c r="A5" s="1">
        <v>45936</v>
      </c>
      <c r="B5">
        <v>18305</v>
      </c>
      <c r="C5">
        <v>873</v>
      </c>
      <c r="D5">
        <v>17432</v>
      </c>
      <c r="E5" s="6">
        <v>0.95230811253755798</v>
      </c>
      <c r="F5" t="s">
        <v>16</v>
      </c>
      <c r="G5" t="s">
        <v>29</v>
      </c>
      <c r="H5" t="s">
        <v>30</v>
      </c>
      <c r="I5">
        <v>41</v>
      </c>
      <c r="J5">
        <v>198</v>
      </c>
    </row>
    <row r="6" spans="1:13" x14ac:dyDescent="0.35">
      <c r="A6" s="1">
        <v>45937</v>
      </c>
      <c r="B6">
        <v>7955</v>
      </c>
      <c r="C6">
        <v>502</v>
      </c>
      <c r="D6">
        <v>7453</v>
      </c>
      <c r="E6" s="6">
        <v>0.936895034569453</v>
      </c>
      <c r="F6" t="s">
        <v>17</v>
      </c>
      <c r="G6" t="s">
        <v>29</v>
      </c>
      <c r="H6" t="s">
        <v>30</v>
      </c>
      <c r="I6">
        <v>41</v>
      </c>
      <c r="J6">
        <v>199</v>
      </c>
    </row>
    <row r="7" spans="1:13" x14ac:dyDescent="0.35">
      <c r="A7" s="1">
        <v>45938</v>
      </c>
      <c r="B7">
        <v>12145</v>
      </c>
      <c r="C7">
        <v>659.5</v>
      </c>
      <c r="D7">
        <v>11485.5</v>
      </c>
      <c r="E7" s="6">
        <v>0.94569781803211195</v>
      </c>
      <c r="F7" t="s">
        <v>18</v>
      </c>
      <c r="G7" t="s">
        <v>29</v>
      </c>
      <c r="H7" t="s">
        <v>30</v>
      </c>
      <c r="I7">
        <v>41</v>
      </c>
      <c r="J7">
        <v>200</v>
      </c>
    </row>
    <row r="8" spans="1:13" x14ac:dyDescent="0.35">
      <c r="A8" s="1">
        <v>45939</v>
      </c>
      <c r="B8">
        <v>15195</v>
      </c>
      <c r="C8">
        <v>1359</v>
      </c>
      <c r="D8">
        <v>13836</v>
      </c>
      <c r="E8" s="6">
        <v>0.91056268509378102</v>
      </c>
      <c r="F8" t="s">
        <v>12</v>
      </c>
      <c r="G8" t="s">
        <v>29</v>
      </c>
      <c r="H8" t="s">
        <v>30</v>
      </c>
      <c r="I8">
        <v>41</v>
      </c>
      <c r="J8">
        <v>201</v>
      </c>
    </row>
    <row r="9" spans="1:13" x14ac:dyDescent="0.35">
      <c r="A9" s="1">
        <v>45940</v>
      </c>
      <c r="B9">
        <v>23280</v>
      </c>
      <c r="C9">
        <v>626</v>
      </c>
      <c r="D9">
        <v>22654</v>
      </c>
      <c r="E9" s="6">
        <v>0.97310996563573904</v>
      </c>
      <c r="F9" t="s">
        <v>15</v>
      </c>
      <c r="G9" t="s">
        <v>29</v>
      </c>
      <c r="H9" t="s">
        <v>30</v>
      </c>
      <c r="I9">
        <v>41</v>
      </c>
      <c r="J9">
        <v>202</v>
      </c>
      <c r="M9">
        <f>SUM(Clean_Data[Sales])</f>
        <v>3840198.5</v>
      </c>
    </row>
    <row r="10" spans="1:13" x14ac:dyDescent="0.35">
      <c r="A10" s="1">
        <v>45943</v>
      </c>
      <c r="B10">
        <v>15885</v>
      </c>
      <c r="C10">
        <v>601.5</v>
      </c>
      <c r="D10">
        <v>15283.5</v>
      </c>
      <c r="E10" s="6">
        <v>0.96213408876298401</v>
      </c>
      <c r="F10" t="s">
        <v>16</v>
      </c>
      <c r="G10" t="s">
        <v>29</v>
      </c>
      <c r="H10" t="s">
        <v>30</v>
      </c>
      <c r="I10">
        <v>42</v>
      </c>
      <c r="J10">
        <v>203</v>
      </c>
    </row>
    <row r="11" spans="1:13" x14ac:dyDescent="0.35">
      <c r="A11" s="1">
        <v>45944</v>
      </c>
      <c r="B11">
        <v>11150</v>
      </c>
      <c r="C11">
        <v>896.1</v>
      </c>
      <c r="D11">
        <v>10253.9</v>
      </c>
      <c r="E11" s="6">
        <v>0.91963228699551602</v>
      </c>
      <c r="F11" t="s">
        <v>17</v>
      </c>
      <c r="G11" t="s">
        <v>29</v>
      </c>
      <c r="H11" t="s">
        <v>30</v>
      </c>
      <c r="I11">
        <v>42</v>
      </c>
      <c r="J11">
        <v>204</v>
      </c>
      <c r="L11">
        <f>SUM(Clean_Data[Expenses])</f>
        <v>260084.69000000003</v>
      </c>
    </row>
    <row r="12" spans="1:13" x14ac:dyDescent="0.35">
      <c r="A12" s="1">
        <v>45945</v>
      </c>
      <c r="B12">
        <v>14225</v>
      </c>
      <c r="C12">
        <v>1044.5</v>
      </c>
      <c r="D12">
        <v>13180.5</v>
      </c>
      <c r="E12" s="6">
        <v>0.92657293497363802</v>
      </c>
      <c r="F12" t="s">
        <v>18</v>
      </c>
      <c r="G12" t="s">
        <v>29</v>
      </c>
      <c r="H12" t="s">
        <v>30</v>
      </c>
      <c r="I12">
        <v>42</v>
      </c>
      <c r="J12">
        <v>205</v>
      </c>
    </row>
    <row r="13" spans="1:13" x14ac:dyDescent="0.35">
      <c r="A13" s="1">
        <v>45946</v>
      </c>
      <c r="B13">
        <v>18350</v>
      </c>
      <c r="C13">
        <v>968</v>
      </c>
      <c r="D13">
        <v>17382</v>
      </c>
      <c r="E13" s="6">
        <v>0.94724795640326998</v>
      </c>
      <c r="F13" t="s">
        <v>12</v>
      </c>
      <c r="G13" t="s">
        <v>29</v>
      </c>
      <c r="H13" t="s">
        <v>30</v>
      </c>
      <c r="I13">
        <v>42</v>
      </c>
      <c r="J13">
        <v>206</v>
      </c>
      <c r="L13">
        <f>SUM(Clean_Data[Profit])</f>
        <v>3580113.81</v>
      </c>
    </row>
    <row r="14" spans="1:13" x14ac:dyDescent="0.35">
      <c r="A14" s="1">
        <v>45947</v>
      </c>
      <c r="B14">
        <v>14445</v>
      </c>
      <c r="C14">
        <v>1686.5</v>
      </c>
      <c r="D14">
        <v>12758.5</v>
      </c>
      <c r="E14" s="6">
        <v>0.88324679820006902</v>
      </c>
      <c r="F14" t="s">
        <v>15</v>
      </c>
      <c r="G14" t="s">
        <v>29</v>
      </c>
      <c r="H14" t="s">
        <v>30</v>
      </c>
      <c r="I14">
        <v>42</v>
      </c>
      <c r="J14">
        <v>207</v>
      </c>
    </row>
    <row r="15" spans="1:13" x14ac:dyDescent="0.35">
      <c r="A15" s="1">
        <v>45950</v>
      </c>
      <c r="B15">
        <v>15270</v>
      </c>
      <c r="C15">
        <v>843</v>
      </c>
      <c r="D15">
        <v>14427</v>
      </c>
      <c r="E15" s="6">
        <v>0.94479371316306504</v>
      </c>
      <c r="F15" t="s">
        <v>16</v>
      </c>
      <c r="G15" t="s">
        <v>29</v>
      </c>
      <c r="H15" t="s">
        <v>30</v>
      </c>
      <c r="I15">
        <v>43</v>
      </c>
      <c r="J15">
        <v>208</v>
      </c>
    </row>
    <row r="16" spans="1:13" x14ac:dyDescent="0.35">
      <c r="A16" s="1">
        <v>45951</v>
      </c>
      <c r="B16">
        <v>13210</v>
      </c>
      <c r="C16">
        <v>647</v>
      </c>
      <c r="D16">
        <v>12563</v>
      </c>
      <c r="E16" s="6">
        <v>0.95102195306585902</v>
      </c>
      <c r="F16" t="s">
        <v>17</v>
      </c>
      <c r="G16" t="s">
        <v>29</v>
      </c>
      <c r="H16" t="s">
        <v>30</v>
      </c>
      <c r="I16">
        <v>43</v>
      </c>
      <c r="J16">
        <v>209</v>
      </c>
    </row>
    <row r="17" spans="1:15" x14ac:dyDescent="0.35">
      <c r="A17" s="1">
        <v>45952</v>
      </c>
      <c r="B17">
        <v>13250</v>
      </c>
      <c r="C17">
        <v>380</v>
      </c>
      <c r="D17">
        <v>12870</v>
      </c>
      <c r="E17" s="6">
        <v>0.97132075471698098</v>
      </c>
      <c r="F17" t="s">
        <v>18</v>
      </c>
      <c r="G17" t="s">
        <v>29</v>
      </c>
      <c r="H17" t="s">
        <v>30</v>
      </c>
      <c r="I17">
        <v>43</v>
      </c>
      <c r="J17">
        <v>210</v>
      </c>
    </row>
    <row r="18" spans="1:15" x14ac:dyDescent="0.35">
      <c r="A18" s="1">
        <v>45953</v>
      </c>
      <c r="B18">
        <v>14325</v>
      </c>
      <c r="C18">
        <v>696</v>
      </c>
      <c r="D18">
        <v>13629</v>
      </c>
      <c r="E18" s="6">
        <v>0.95141361256544499</v>
      </c>
      <c r="F18" t="s">
        <v>12</v>
      </c>
      <c r="G18" t="s">
        <v>29</v>
      </c>
      <c r="H18" t="s">
        <v>30</v>
      </c>
      <c r="I18">
        <v>43</v>
      </c>
      <c r="J18">
        <v>211</v>
      </c>
      <c r="N18" s="4" t="s">
        <v>45</v>
      </c>
      <c r="O18" t="s">
        <v>51</v>
      </c>
    </row>
    <row r="19" spans="1:15" x14ac:dyDescent="0.35">
      <c r="A19" s="1">
        <v>45954</v>
      </c>
      <c r="B19">
        <v>20310</v>
      </c>
      <c r="C19">
        <v>1318.5</v>
      </c>
      <c r="D19">
        <v>18991.5</v>
      </c>
      <c r="E19" s="6">
        <v>0.93508124076809396</v>
      </c>
      <c r="F19" t="s">
        <v>15</v>
      </c>
      <c r="G19" t="s">
        <v>29</v>
      </c>
      <c r="H19" t="s">
        <v>30</v>
      </c>
      <c r="I19">
        <v>43</v>
      </c>
      <c r="J19">
        <v>212</v>
      </c>
      <c r="N19" s="5" t="s">
        <v>14</v>
      </c>
      <c r="O19">
        <v>812206.5</v>
      </c>
    </row>
    <row r="20" spans="1:15" x14ac:dyDescent="0.35">
      <c r="A20" s="1">
        <v>45957</v>
      </c>
      <c r="B20">
        <v>14830</v>
      </c>
      <c r="C20">
        <v>590</v>
      </c>
      <c r="D20">
        <v>14240</v>
      </c>
      <c r="E20" s="6">
        <v>0.96021577882670295</v>
      </c>
      <c r="F20" t="s">
        <v>16</v>
      </c>
      <c r="G20" t="s">
        <v>29</v>
      </c>
      <c r="H20" t="s">
        <v>30</v>
      </c>
      <c r="I20">
        <v>44</v>
      </c>
      <c r="J20">
        <v>213</v>
      </c>
      <c r="N20" s="5" t="s">
        <v>22</v>
      </c>
      <c r="O20">
        <v>963406.5</v>
      </c>
    </row>
    <row r="21" spans="1:15" x14ac:dyDescent="0.35">
      <c r="A21" s="1">
        <v>45958</v>
      </c>
      <c r="B21">
        <v>17935</v>
      </c>
      <c r="C21">
        <v>949</v>
      </c>
      <c r="D21">
        <v>16986</v>
      </c>
      <c r="E21" s="6">
        <v>0.94708670197936995</v>
      </c>
      <c r="F21" t="s">
        <v>17</v>
      </c>
      <c r="G21" t="s">
        <v>29</v>
      </c>
      <c r="H21" t="s">
        <v>30</v>
      </c>
      <c r="I21">
        <v>44</v>
      </c>
      <c r="J21">
        <v>214</v>
      </c>
      <c r="N21" s="5" t="s">
        <v>26</v>
      </c>
      <c r="O21">
        <v>992231.5</v>
      </c>
    </row>
    <row r="22" spans="1:15" x14ac:dyDescent="0.35">
      <c r="A22" s="1">
        <v>45959</v>
      </c>
      <c r="B22">
        <v>12020</v>
      </c>
      <c r="C22">
        <v>801</v>
      </c>
      <c r="D22">
        <v>11219</v>
      </c>
      <c r="E22" s="6">
        <v>0.933361064891847</v>
      </c>
      <c r="F22" t="s">
        <v>18</v>
      </c>
      <c r="G22" t="s">
        <v>29</v>
      </c>
      <c r="H22" t="s">
        <v>30</v>
      </c>
      <c r="I22">
        <v>44</v>
      </c>
      <c r="J22">
        <v>215</v>
      </c>
      <c r="N22" s="5" t="s">
        <v>30</v>
      </c>
      <c r="O22">
        <v>1072354</v>
      </c>
    </row>
    <row r="23" spans="1:15" x14ac:dyDescent="0.35">
      <c r="A23" s="1">
        <v>45960</v>
      </c>
      <c r="B23">
        <v>14195</v>
      </c>
      <c r="C23">
        <v>1413.5</v>
      </c>
      <c r="D23">
        <v>12781.5</v>
      </c>
      <c r="E23" s="6">
        <v>0.90042268404367698</v>
      </c>
      <c r="F23" t="s">
        <v>12</v>
      </c>
      <c r="G23" t="s">
        <v>29</v>
      </c>
      <c r="H23" t="s">
        <v>30</v>
      </c>
      <c r="I23">
        <v>44</v>
      </c>
      <c r="J23">
        <v>216</v>
      </c>
      <c r="N23" s="5" t="s">
        <v>46</v>
      </c>
      <c r="O23">
        <v>3840198.5</v>
      </c>
    </row>
    <row r="24" spans="1:15" x14ac:dyDescent="0.35">
      <c r="A24" s="1">
        <v>45961</v>
      </c>
      <c r="B24">
        <v>24335</v>
      </c>
      <c r="C24">
        <v>1081.5</v>
      </c>
      <c r="D24">
        <v>23253.5</v>
      </c>
      <c r="E24" s="6">
        <v>0.95555783850421205</v>
      </c>
      <c r="F24" t="s">
        <v>15</v>
      </c>
      <c r="G24" t="s">
        <v>29</v>
      </c>
      <c r="H24" t="s">
        <v>30</v>
      </c>
      <c r="I24">
        <v>44</v>
      </c>
      <c r="J24">
        <v>217</v>
      </c>
    </row>
    <row r="25" spans="1:15" x14ac:dyDescent="0.35">
      <c r="A25" s="1">
        <v>45964</v>
      </c>
      <c r="B25">
        <v>20395</v>
      </c>
      <c r="C25">
        <v>527</v>
      </c>
      <c r="D25">
        <v>19868</v>
      </c>
      <c r="E25" s="6">
        <v>0.97416033341505304</v>
      </c>
      <c r="F25" t="s">
        <v>16</v>
      </c>
      <c r="G25" t="s">
        <v>31</v>
      </c>
      <c r="H25" t="s">
        <v>30</v>
      </c>
      <c r="I25">
        <v>45</v>
      </c>
      <c r="J25">
        <v>218</v>
      </c>
    </row>
    <row r="26" spans="1:15" x14ac:dyDescent="0.35">
      <c r="A26" s="1">
        <v>45965</v>
      </c>
      <c r="B26">
        <v>17470</v>
      </c>
      <c r="C26">
        <v>1258</v>
      </c>
      <c r="D26">
        <v>16212</v>
      </c>
      <c r="E26" s="6">
        <v>0.92799084144247301</v>
      </c>
      <c r="F26" t="s">
        <v>17</v>
      </c>
      <c r="G26" t="s">
        <v>31</v>
      </c>
      <c r="H26" t="s">
        <v>30</v>
      </c>
      <c r="I26">
        <v>45</v>
      </c>
      <c r="J26">
        <v>219</v>
      </c>
    </row>
    <row r="27" spans="1:15" x14ac:dyDescent="0.35">
      <c r="A27" s="1">
        <v>45966</v>
      </c>
      <c r="B27">
        <v>15900</v>
      </c>
      <c r="C27">
        <v>769</v>
      </c>
      <c r="D27">
        <v>15131</v>
      </c>
      <c r="E27" s="6">
        <v>0.95163522012578605</v>
      </c>
      <c r="F27" t="s">
        <v>18</v>
      </c>
      <c r="G27" t="s">
        <v>31</v>
      </c>
      <c r="H27" t="s">
        <v>30</v>
      </c>
      <c r="I27">
        <v>45</v>
      </c>
      <c r="J27">
        <v>220</v>
      </c>
    </row>
    <row r="28" spans="1:15" x14ac:dyDescent="0.35">
      <c r="A28" s="1">
        <v>45967</v>
      </c>
      <c r="B28">
        <v>17040</v>
      </c>
      <c r="C28">
        <v>1097</v>
      </c>
      <c r="D28">
        <v>15943</v>
      </c>
      <c r="E28" s="6">
        <v>0.93562206572770001</v>
      </c>
      <c r="F28" t="s">
        <v>12</v>
      </c>
      <c r="G28" t="s">
        <v>31</v>
      </c>
      <c r="H28" t="s">
        <v>30</v>
      </c>
      <c r="I28">
        <v>45</v>
      </c>
      <c r="J28">
        <v>221</v>
      </c>
    </row>
    <row r="29" spans="1:15" x14ac:dyDescent="0.35">
      <c r="A29" s="1">
        <v>45968</v>
      </c>
      <c r="B29">
        <v>20505</v>
      </c>
      <c r="C29">
        <v>1158</v>
      </c>
      <c r="D29">
        <v>19347</v>
      </c>
      <c r="E29" s="6">
        <v>0.94352596927578603</v>
      </c>
      <c r="F29" t="s">
        <v>15</v>
      </c>
      <c r="G29" t="s">
        <v>31</v>
      </c>
      <c r="H29" t="s">
        <v>30</v>
      </c>
      <c r="I29">
        <v>45</v>
      </c>
      <c r="J29">
        <v>222</v>
      </c>
    </row>
    <row r="30" spans="1:15" x14ac:dyDescent="0.35">
      <c r="A30" s="1">
        <v>45971</v>
      </c>
      <c r="B30">
        <v>17835</v>
      </c>
      <c r="C30">
        <v>1032</v>
      </c>
      <c r="D30">
        <v>16803</v>
      </c>
      <c r="E30" s="6">
        <v>0.94213624894869596</v>
      </c>
      <c r="F30" t="s">
        <v>16</v>
      </c>
      <c r="G30" t="s">
        <v>31</v>
      </c>
      <c r="H30" t="s">
        <v>30</v>
      </c>
      <c r="I30">
        <v>46</v>
      </c>
      <c r="J30">
        <v>223</v>
      </c>
    </row>
    <row r="31" spans="1:15" x14ac:dyDescent="0.35">
      <c r="A31" s="1">
        <v>45972</v>
      </c>
      <c r="B31">
        <v>18880</v>
      </c>
      <c r="C31">
        <v>799</v>
      </c>
      <c r="D31">
        <v>18081</v>
      </c>
      <c r="E31" s="6">
        <v>0.95768008474576305</v>
      </c>
      <c r="F31" t="s">
        <v>17</v>
      </c>
      <c r="G31" t="s">
        <v>31</v>
      </c>
      <c r="H31" t="s">
        <v>30</v>
      </c>
      <c r="I31">
        <v>46</v>
      </c>
      <c r="J31">
        <v>224</v>
      </c>
    </row>
    <row r="32" spans="1:15" x14ac:dyDescent="0.35">
      <c r="A32" s="1">
        <v>45973</v>
      </c>
      <c r="B32">
        <v>17470</v>
      </c>
      <c r="C32">
        <v>990.6</v>
      </c>
      <c r="D32">
        <v>16479.400000000001</v>
      </c>
      <c r="E32" s="6">
        <v>0.94329708070978802</v>
      </c>
      <c r="F32" t="s">
        <v>18</v>
      </c>
      <c r="G32" t="s">
        <v>31</v>
      </c>
      <c r="H32" t="s">
        <v>30</v>
      </c>
      <c r="I32">
        <v>46</v>
      </c>
      <c r="J32">
        <v>225</v>
      </c>
    </row>
    <row r="33" spans="1:10" x14ac:dyDescent="0.35">
      <c r="A33" s="1">
        <v>45974</v>
      </c>
      <c r="B33">
        <v>13655</v>
      </c>
      <c r="C33">
        <v>1168.5</v>
      </c>
      <c r="D33">
        <v>12486.5</v>
      </c>
      <c r="E33" s="6">
        <v>0.91442694983522499</v>
      </c>
      <c r="F33" t="s">
        <v>12</v>
      </c>
      <c r="G33" t="s">
        <v>31</v>
      </c>
      <c r="H33" t="s">
        <v>30</v>
      </c>
      <c r="I33">
        <v>46</v>
      </c>
      <c r="J33">
        <v>226</v>
      </c>
    </row>
    <row r="34" spans="1:10" x14ac:dyDescent="0.35">
      <c r="A34" s="1">
        <v>45975</v>
      </c>
      <c r="B34">
        <v>20790</v>
      </c>
      <c r="C34">
        <v>933</v>
      </c>
      <c r="D34">
        <v>19857</v>
      </c>
      <c r="E34" s="6">
        <v>0.95512265512265504</v>
      </c>
      <c r="F34" t="s">
        <v>15</v>
      </c>
      <c r="G34" t="s">
        <v>31</v>
      </c>
      <c r="H34" t="s">
        <v>30</v>
      </c>
      <c r="I34">
        <v>46</v>
      </c>
      <c r="J34">
        <v>227</v>
      </c>
    </row>
    <row r="35" spans="1:10" x14ac:dyDescent="0.35">
      <c r="A35" s="1">
        <v>45978</v>
      </c>
      <c r="B35">
        <v>17241</v>
      </c>
      <c r="C35">
        <v>1197</v>
      </c>
      <c r="D35">
        <v>16044</v>
      </c>
      <c r="E35" s="6">
        <v>0.93057247259439702</v>
      </c>
      <c r="F35" t="s">
        <v>16</v>
      </c>
      <c r="G35" t="s">
        <v>31</v>
      </c>
      <c r="H35" t="s">
        <v>30</v>
      </c>
      <c r="I35">
        <v>47</v>
      </c>
      <c r="J35">
        <v>228</v>
      </c>
    </row>
    <row r="36" spans="1:10" x14ac:dyDescent="0.35">
      <c r="A36" s="1">
        <v>45979</v>
      </c>
      <c r="B36">
        <v>18615</v>
      </c>
      <c r="C36">
        <v>1202</v>
      </c>
      <c r="D36">
        <v>17413</v>
      </c>
      <c r="E36" s="6">
        <v>0.93542841794251996</v>
      </c>
      <c r="F36" t="s">
        <v>17</v>
      </c>
      <c r="G36" t="s">
        <v>31</v>
      </c>
      <c r="H36" t="s">
        <v>30</v>
      </c>
      <c r="I36">
        <v>47</v>
      </c>
      <c r="J36">
        <v>229</v>
      </c>
    </row>
    <row r="37" spans="1:10" x14ac:dyDescent="0.35">
      <c r="A37" s="1">
        <v>45980</v>
      </c>
      <c r="B37">
        <v>22090</v>
      </c>
      <c r="C37">
        <v>2050</v>
      </c>
      <c r="D37">
        <v>20040</v>
      </c>
      <c r="E37" s="6">
        <v>0.90719782707107299</v>
      </c>
      <c r="F37" t="s">
        <v>18</v>
      </c>
      <c r="G37" t="s">
        <v>31</v>
      </c>
      <c r="H37" t="s">
        <v>30</v>
      </c>
      <c r="I37">
        <v>47</v>
      </c>
      <c r="J37">
        <v>230</v>
      </c>
    </row>
    <row r="38" spans="1:10" x14ac:dyDescent="0.35">
      <c r="A38" s="1">
        <v>45981</v>
      </c>
      <c r="B38">
        <v>11255</v>
      </c>
      <c r="C38">
        <v>1058</v>
      </c>
      <c r="D38">
        <v>10197</v>
      </c>
      <c r="E38" s="6">
        <v>0.90599733451799203</v>
      </c>
      <c r="F38" t="s">
        <v>12</v>
      </c>
      <c r="G38" t="s">
        <v>31</v>
      </c>
      <c r="H38" t="s">
        <v>30</v>
      </c>
      <c r="I38">
        <v>47</v>
      </c>
      <c r="J38">
        <v>231</v>
      </c>
    </row>
    <row r="39" spans="1:10" x14ac:dyDescent="0.35">
      <c r="A39" s="1">
        <v>45982</v>
      </c>
      <c r="B39">
        <v>20590</v>
      </c>
      <c r="C39">
        <v>1144</v>
      </c>
      <c r="D39">
        <v>19446</v>
      </c>
      <c r="E39" s="6">
        <v>0.94443904808159296</v>
      </c>
      <c r="F39" t="s">
        <v>15</v>
      </c>
      <c r="G39" t="s">
        <v>31</v>
      </c>
      <c r="H39" t="s">
        <v>30</v>
      </c>
      <c r="I39">
        <v>47</v>
      </c>
      <c r="J39">
        <v>232</v>
      </c>
    </row>
    <row r="40" spans="1:10" x14ac:dyDescent="0.35">
      <c r="A40" s="1">
        <v>45985</v>
      </c>
      <c r="B40">
        <v>15160</v>
      </c>
      <c r="C40">
        <v>728</v>
      </c>
      <c r="D40">
        <v>14432</v>
      </c>
      <c r="E40" s="6">
        <v>0.95197889182058004</v>
      </c>
      <c r="F40" t="s">
        <v>16</v>
      </c>
      <c r="G40" t="s">
        <v>31</v>
      </c>
      <c r="H40" t="s">
        <v>30</v>
      </c>
      <c r="I40">
        <v>48</v>
      </c>
      <c r="J40">
        <v>233</v>
      </c>
    </row>
    <row r="41" spans="1:10" x14ac:dyDescent="0.35">
      <c r="A41" s="1">
        <v>45986</v>
      </c>
      <c r="B41">
        <v>16800</v>
      </c>
      <c r="C41">
        <v>491</v>
      </c>
      <c r="D41">
        <v>16309</v>
      </c>
      <c r="E41" s="6">
        <v>0.97077380952380998</v>
      </c>
      <c r="F41" t="s">
        <v>17</v>
      </c>
      <c r="G41" t="s">
        <v>31</v>
      </c>
      <c r="H41" t="s">
        <v>30</v>
      </c>
      <c r="I41">
        <v>48</v>
      </c>
      <c r="J41">
        <v>234</v>
      </c>
    </row>
    <row r="42" spans="1:10" x14ac:dyDescent="0.35">
      <c r="A42" s="1">
        <v>45987</v>
      </c>
      <c r="B42">
        <v>18025</v>
      </c>
      <c r="C42">
        <v>1421</v>
      </c>
      <c r="D42">
        <v>16604</v>
      </c>
      <c r="E42" s="6">
        <v>0.92116504854368897</v>
      </c>
      <c r="F42" t="s">
        <v>18</v>
      </c>
      <c r="G42" t="s">
        <v>31</v>
      </c>
      <c r="H42" t="s">
        <v>30</v>
      </c>
      <c r="I42">
        <v>48</v>
      </c>
      <c r="J42">
        <v>235</v>
      </c>
    </row>
    <row r="43" spans="1:10" x14ac:dyDescent="0.35">
      <c r="A43" s="1">
        <v>45988</v>
      </c>
      <c r="B43">
        <v>15890</v>
      </c>
      <c r="C43">
        <v>853</v>
      </c>
      <c r="D43">
        <v>15037</v>
      </c>
      <c r="E43" s="6">
        <v>0.94631843926998105</v>
      </c>
      <c r="F43" t="s">
        <v>12</v>
      </c>
      <c r="G43" t="s">
        <v>31</v>
      </c>
      <c r="H43" t="s">
        <v>30</v>
      </c>
      <c r="I43">
        <v>48</v>
      </c>
      <c r="J43">
        <v>236</v>
      </c>
    </row>
    <row r="44" spans="1:10" x14ac:dyDescent="0.35">
      <c r="A44" s="1">
        <v>45989</v>
      </c>
      <c r="B44">
        <v>30115</v>
      </c>
      <c r="C44">
        <v>1560.5</v>
      </c>
      <c r="D44">
        <v>28554.5</v>
      </c>
      <c r="E44" s="6">
        <v>0.94818196911838004</v>
      </c>
      <c r="F44" t="s">
        <v>15</v>
      </c>
      <c r="G44" t="s">
        <v>31</v>
      </c>
      <c r="H44" t="s">
        <v>30</v>
      </c>
      <c r="I44">
        <v>48</v>
      </c>
      <c r="J44">
        <v>237</v>
      </c>
    </row>
    <row r="45" spans="1:10" x14ac:dyDescent="0.35">
      <c r="A45" s="1">
        <v>45992</v>
      </c>
      <c r="B45">
        <v>18455</v>
      </c>
      <c r="C45">
        <v>1174</v>
      </c>
      <c r="D45">
        <v>17281</v>
      </c>
      <c r="E45" s="6">
        <v>0.93638580330533705</v>
      </c>
      <c r="F45" t="s">
        <v>16</v>
      </c>
      <c r="G45" t="s">
        <v>32</v>
      </c>
      <c r="H45" t="s">
        <v>30</v>
      </c>
      <c r="I45">
        <v>49</v>
      </c>
      <c r="J45">
        <v>238</v>
      </c>
    </row>
    <row r="46" spans="1:10" x14ac:dyDescent="0.35">
      <c r="A46" s="1">
        <v>45993</v>
      </c>
      <c r="B46">
        <v>17250</v>
      </c>
      <c r="C46">
        <v>1018.5</v>
      </c>
      <c r="D46">
        <v>16231.5</v>
      </c>
      <c r="E46" s="6">
        <v>0.94095652173913003</v>
      </c>
      <c r="F46" t="s">
        <v>17</v>
      </c>
      <c r="G46" t="s">
        <v>32</v>
      </c>
      <c r="H46" t="s">
        <v>30</v>
      </c>
      <c r="I46">
        <v>49</v>
      </c>
      <c r="J46">
        <v>239</v>
      </c>
    </row>
    <row r="47" spans="1:10" x14ac:dyDescent="0.35">
      <c r="A47" s="1">
        <v>45994</v>
      </c>
      <c r="B47">
        <v>21675</v>
      </c>
      <c r="C47">
        <v>874</v>
      </c>
      <c r="D47">
        <v>20801</v>
      </c>
      <c r="E47" s="6">
        <v>0.95967704728950398</v>
      </c>
      <c r="F47" t="s">
        <v>18</v>
      </c>
      <c r="G47" t="s">
        <v>32</v>
      </c>
      <c r="H47" t="s">
        <v>30</v>
      </c>
      <c r="I47">
        <v>49</v>
      </c>
      <c r="J47">
        <v>240</v>
      </c>
    </row>
    <row r="48" spans="1:10" x14ac:dyDescent="0.35">
      <c r="A48" s="1">
        <v>45995</v>
      </c>
      <c r="B48">
        <v>16360</v>
      </c>
      <c r="C48">
        <v>1237.5</v>
      </c>
      <c r="D48">
        <v>15122.5</v>
      </c>
      <c r="E48" s="6">
        <v>0.92435819070904601</v>
      </c>
      <c r="F48" t="s">
        <v>12</v>
      </c>
      <c r="G48" t="s">
        <v>32</v>
      </c>
      <c r="H48" t="s">
        <v>30</v>
      </c>
      <c r="I48">
        <v>49</v>
      </c>
      <c r="J48">
        <v>241</v>
      </c>
    </row>
    <row r="49" spans="1:10" x14ac:dyDescent="0.35">
      <c r="A49" s="1">
        <v>45996</v>
      </c>
      <c r="B49">
        <v>23425</v>
      </c>
      <c r="C49">
        <v>938</v>
      </c>
      <c r="D49">
        <v>22487</v>
      </c>
      <c r="E49" s="6">
        <v>0.95995731056563505</v>
      </c>
      <c r="F49" t="s">
        <v>15</v>
      </c>
      <c r="G49" t="s">
        <v>32</v>
      </c>
      <c r="H49" t="s">
        <v>30</v>
      </c>
      <c r="I49">
        <v>49</v>
      </c>
      <c r="J49">
        <v>242</v>
      </c>
    </row>
    <row r="50" spans="1:10" x14ac:dyDescent="0.35">
      <c r="A50" s="1">
        <v>45999</v>
      </c>
      <c r="B50">
        <v>18978</v>
      </c>
      <c r="C50">
        <v>855</v>
      </c>
      <c r="D50">
        <v>18123</v>
      </c>
      <c r="E50" s="6">
        <v>0.95494783433449304</v>
      </c>
      <c r="F50" t="s">
        <v>16</v>
      </c>
      <c r="G50" t="s">
        <v>32</v>
      </c>
      <c r="H50" t="s">
        <v>30</v>
      </c>
      <c r="I50">
        <v>50</v>
      </c>
      <c r="J50">
        <v>243</v>
      </c>
    </row>
    <row r="51" spans="1:10" x14ac:dyDescent="0.35">
      <c r="A51" s="1">
        <v>46000</v>
      </c>
      <c r="B51">
        <v>20830</v>
      </c>
      <c r="C51">
        <v>288</v>
      </c>
      <c r="D51">
        <v>20542</v>
      </c>
      <c r="E51" s="6">
        <v>0.98617378780604903</v>
      </c>
      <c r="F51" t="s">
        <v>17</v>
      </c>
      <c r="G51" t="s">
        <v>32</v>
      </c>
      <c r="H51" t="s">
        <v>30</v>
      </c>
      <c r="I51">
        <v>50</v>
      </c>
      <c r="J51">
        <v>244</v>
      </c>
    </row>
    <row r="52" spans="1:10" x14ac:dyDescent="0.35">
      <c r="A52" s="1">
        <v>46001</v>
      </c>
      <c r="B52">
        <v>15370</v>
      </c>
      <c r="C52">
        <v>369</v>
      </c>
      <c r="D52">
        <v>15001</v>
      </c>
      <c r="E52" s="6">
        <v>0.975992192582954</v>
      </c>
      <c r="F52" t="s">
        <v>18</v>
      </c>
      <c r="G52" t="s">
        <v>32</v>
      </c>
      <c r="H52" t="s">
        <v>30</v>
      </c>
      <c r="I52">
        <v>50</v>
      </c>
      <c r="J52">
        <v>245</v>
      </c>
    </row>
    <row r="53" spans="1:10" x14ac:dyDescent="0.35">
      <c r="A53" s="1">
        <v>46002</v>
      </c>
      <c r="B53">
        <v>16835</v>
      </c>
      <c r="C53">
        <v>1249.5</v>
      </c>
      <c r="D53">
        <v>15585.5</v>
      </c>
      <c r="E53" s="6">
        <v>0.92577962577962603</v>
      </c>
      <c r="F53" t="s">
        <v>12</v>
      </c>
      <c r="G53" t="s">
        <v>32</v>
      </c>
      <c r="H53" t="s">
        <v>30</v>
      </c>
      <c r="I53">
        <v>50</v>
      </c>
      <c r="J53">
        <v>246</v>
      </c>
    </row>
    <row r="54" spans="1:10" x14ac:dyDescent="0.35">
      <c r="A54" s="1">
        <v>46003</v>
      </c>
      <c r="B54">
        <v>17335</v>
      </c>
      <c r="C54">
        <v>1940.4</v>
      </c>
      <c r="D54">
        <v>15394.6</v>
      </c>
      <c r="E54" s="6">
        <v>0.88806460917219499</v>
      </c>
      <c r="F54" t="s">
        <v>15</v>
      </c>
      <c r="G54" t="s">
        <v>32</v>
      </c>
      <c r="H54" t="s">
        <v>30</v>
      </c>
      <c r="I54">
        <v>50</v>
      </c>
      <c r="J54">
        <v>247</v>
      </c>
    </row>
    <row r="55" spans="1:10" x14ac:dyDescent="0.35">
      <c r="A55" s="1">
        <v>46006</v>
      </c>
      <c r="B55">
        <v>20035</v>
      </c>
      <c r="C55">
        <v>1053.5</v>
      </c>
      <c r="D55">
        <v>18981.5</v>
      </c>
      <c r="E55" s="6">
        <v>0.94741702021462404</v>
      </c>
      <c r="F55" t="s">
        <v>16</v>
      </c>
      <c r="G55" t="s">
        <v>32</v>
      </c>
      <c r="H55" t="s">
        <v>30</v>
      </c>
      <c r="I55">
        <v>51</v>
      </c>
      <c r="J55">
        <v>248</v>
      </c>
    </row>
    <row r="56" spans="1:10" x14ac:dyDescent="0.35">
      <c r="A56" s="1">
        <v>46007</v>
      </c>
      <c r="B56">
        <v>18525</v>
      </c>
      <c r="C56">
        <v>1157</v>
      </c>
      <c r="D56">
        <v>17368</v>
      </c>
      <c r="E56" s="6">
        <v>0.93754385964912301</v>
      </c>
      <c r="F56" t="s">
        <v>17</v>
      </c>
      <c r="G56" t="s">
        <v>32</v>
      </c>
      <c r="H56" t="s">
        <v>30</v>
      </c>
      <c r="I56">
        <v>51</v>
      </c>
      <c r="J56">
        <v>249</v>
      </c>
    </row>
    <row r="57" spans="1:10" x14ac:dyDescent="0.35">
      <c r="A57" s="1">
        <v>46008</v>
      </c>
      <c r="B57">
        <v>10310</v>
      </c>
      <c r="C57">
        <v>1009</v>
      </c>
      <c r="D57">
        <v>9301</v>
      </c>
      <c r="E57" s="6">
        <v>0.90213385063045604</v>
      </c>
      <c r="F57" t="s">
        <v>18</v>
      </c>
      <c r="G57" t="s">
        <v>32</v>
      </c>
      <c r="H57" t="s">
        <v>30</v>
      </c>
      <c r="I57">
        <v>51</v>
      </c>
      <c r="J57">
        <v>250</v>
      </c>
    </row>
    <row r="58" spans="1:10" x14ac:dyDescent="0.35">
      <c r="A58" s="1">
        <v>46009</v>
      </c>
      <c r="B58">
        <v>12055</v>
      </c>
      <c r="C58">
        <v>873.5</v>
      </c>
      <c r="D58">
        <v>11181.5</v>
      </c>
      <c r="E58" s="6">
        <v>0.92754043965159705</v>
      </c>
      <c r="F58" t="s">
        <v>12</v>
      </c>
      <c r="G58" t="s">
        <v>32</v>
      </c>
      <c r="H58" t="s">
        <v>30</v>
      </c>
      <c r="I58">
        <v>51</v>
      </c>
      <c r="J58">
        <v>251</v>
      </c>
    </row>
    <row r="59" spans="1:10" x14ac:dyDescent="0.35">
      <c r="A59" s="1">
        <v>46010</v>
      </c>
      <c r="B59">
        <v>19880</v>
      </c>
      <c r="C59">
        <v>691</v>
      </c>
      <c r="D59">
        <v>19189</v>
      </c>
      <c r="E59" s="6">
        <v>0.965241448692153</v>
      </c>
      <c r="F59" t="s">
        <v>15</v>
      </c>
      <c r="G59" t="s">
        <v>32</v>
      </c>
      <c r="H59" t="s">
        <v>30</v>
      </c>
      <c r="I59">
        <v>51</v>
      </c>
      <c r="J59">
        <v>252</v>
      </c>
    </row>
    <row r="60" spans="1:10" x14ac:dyDescent="0.35">
      <c r="A60" s="1">
        <v>46013</v>
      </c>
      <c r="B60">
        <v>16915</v>
      </c>
      <c r="C60">
        <v>409</v>
      </c>
      <c r="D60">
        <v>16506</v>
      </c>
      <c r="E60" s="6">
        <v>0.97582027785988801</v>
      </c>
      <c r="F60" t="s">
        <v>16</v>
      </c>
      <c r="G60" t="s">
        <v>32</v>
      </c>
      <c r="H60" t="s">
        <v>30</v>
      </c>
      <c r="I60">
        <v>52</v>
      </c>
      <c r="J60">
        <v>253</v>
      </c>
    </row>
    <row r="61" spans="1:10" x14ac:dyDescent="0.35">
      <c r="A61" s="1">
        <v>46014</v>
      </c>
      <c r="B61">
        <v>12385</v>
      </c>
      <c r="C61">
        <v>437</v>
      </c>
      <c r="D61">
        <v>11948</v>
      </c>
      <c r="E61" s="6">
        <v>0.964715381509891</v>
      </c>
      <c r="F61" t="s">
        <v>17</v>
      </c>
      <c r="G61" t="s">
        <v>32</v>
      </c>
      <c r="H61" t="s">
        <v>30</v>
      </c>
      <c r="I61">
        <v>52</v>
      </c>
      <c r="J61">
        <v>254</v>
      </c>
    </row>
    <row r="62" spans="1:10" x14ac:dyDescent="0.35">
      <c r="A62" s="1">
        <v>46015</v>
      </c>
      <c r="B62">
        <v>26735</v>
      </c>
      <c r="C62">
        <v>632</v>
      </c>
      <c r="D62">
        <v>26103</v>
      </c>
      <c r="E62" s="6">
        <v>0.976360576023939</v>
      </c>
      <c r="F62" t="s">
        <v>18</v>
      </c>
      <c r="G62" t="s">
        <v>32</v>
      </c>
      <c r="H62" t="s">
        <v>30</v>
      </c>
      <c r="I62">
        <v>52</v>
      </c>
      <c r="J62">
        <v>255</v>
      </c>
    </row>
    <row r="63" spans="1:10" x14ac:dyDescent="0.35">
      <c r="A63" s="1">
        <v>46020</v>
      </c>
      <c r="B63">
        <v>16950</v>
      </c>
      <c r="C63">
        <v>748</v>
      </c>
      <c r="D63">
        <v>16202</v>
      </c>
      <c r="E63" s="6">
        <v>0.95587020648967602</v>
      </c>
      <c r="F63" t="s">
        <v>16</v>
      </c>
      <c r="G63" t="s">
        <v>32</v>
      </c>
      <c r="H63" t="s">
        <v>30</v>
      </c>
      <c r="I63">
        <v>53</v>
      </c>
      <c r="J63">
        <v>256</v>
      </c>
    </row>
    <row r="64" spans="1:10" x14ac:dyDescent="0.35">
      <c r="A64" s="1">
        <v>46021</v>
      </c>
      <c r="B64">
        <v>1720</v>
      </c>
      <c r="C64">
        <v>926</v>
      </c>
      <c r="D64">
        <v>794</v>
      </c>
      <c r="E64" s="6">
        <v>0.461627906976744</v>
      </c>
      <c r="F64" t="s">
        <v>17</v>
      </c>
      <c r="G64" t="s">
        <v>32</v>
      </c>
      <c r="H64" t="s">
        <v>30</v>
      </c>
      <c r="I64">
        <v>53</v>
      </c>
      <c r="J64">
        <v>257</v>
      </c>
    </row>
    <row r="65" spans="1:10" x14ac:dyDescent="0.35">
      <c r="A65" s="1">
        <v>45839</v>
      </c>
      <c r="B65">
        <v>17812</v>
      </c>
      <c r="C65">
        <v>1006</v>
      </c>
      <c r="D65">
        <v>16806</v>
      </c>
      <c r="E65" s="6">
        <v>0.94352122164832697</v>
      </c>
      <c r="F65" t="s">
        <v>17</v>
      </c>
      <c r="G65" t="s">
        <v>25</v>
      </c>
      <c r="H65" t="s">
        <v>26</v>
      </c>
      <c r="I65">
        <v>27</v>
      </c>
      <c r="J65">
        <v>129</v>
      </c>
    </row>
    <row r="66" spans="1:10" x14ac:dyDescent="0.35">
      <c r="A66" s="1">
        <v>45840</v>
      </c>
      <c r="B66">
        <v>13098</v>
      </c>
      <c r="C66">
        <v>1056</v>
      </c>
      <c r="D66">
        <v>12042</v>
      </c>
      <c r="E66" s="6">
        <v>0.91937700412276702</v>
      </c>
      <c r="F66" t="s">
        <v>18</v>
      </c>
      <c r="G66" t="s">
        <v>25</v>
      </c>
      <c r="H66" t="s">
        <v>26</v>
      </c>
      <c r="I66">
        <v>27</v>
      </c>
      <c r="J66">
        <v>130</v>
      </c>
    </row>
    <row r="67" spans="1:10" x14ac:dyDescent="0.35">
      <c r="A67" s="1">
        <v>45841</v>
      </c>
      <c r="B67">
        <v>6955</v>
      </c>
      <c r="C67">
        <v>284</v>
      </c>
      <c r="D67">
        <v>6671</v>
      </c>
      <c r="E67" s="6">
        <v>0.95916606757728196</v>
      </c>
      <c r="F67" t="s">
        <v>12</v>
      </c>
      <c r="G67" t="s">
        <v>25</v>
      </c>
      <c r="H67" t="s">
        <v>26</v>
      </c>
      <c r="I67">
        <v>27</v>
      </c>
      <c r="J67">
        <v>131</v>
      </c>
    </row>
    <row r="68" spans="1:10" x14ac:dyDescent="0.35">
      <c r="A68" s="1">
        <v>45842</v>
      </c>
      <c r="B68">
        <v>22030</v>
      </c>
      <c r="C68">
        <v>1141</v>
      </c>
      <c r="D68">
        <v>20889</v>
      </c>
      <c r="E68" s="6">
        <v>0.94820699046754398</v>
      </c>
      <c r="F68" t="s">
        <v>15</v>
      </c>
      <c r="G68" t="s">
        <v>25</v>
      </c>
      <c r="H68" t="s">
        <v>26</v>
      </c>
      <c r="I68">
        <v>27</v>
      </c>
      <c r="J68">
        <v>132</v>
      </c>
    </row>
    <row r="69" spans="1:10" x14ac:dyDescent="0.35">
      <c r="A69" s="1">
        <v>45845</v>
      </c>
      <c r="B69">
        <v>16125</v>
      </c>
      <c r="C69">
        <v>1102.5</v>
      </c>
      <c r="D69">
        <v>15022.5</v>
      </c>
      <c r="E69" s="6">
        <v>0.93162790697674402</v>
      </c>
      <c r="F69" t="s">
        <v>16</v>
      </c>
      <c r="G69" t="s">
        <v>25</v>
      </c>
      <c r="H69" t="s">
        <v>26</v>
      </c>
      <c r="I69">
        <v>28</v>
      </c>
      <c r="J69">
        <v>133</v>
      </c>
    </row>
    <row r="70" spans="1:10" x14ac:dyDescent="0.35">
      <c r="A70" s="1">
        <v>45846</v>
      </c>
      <c r="B70">
        <v>11435</v>
      </c>
      <c r="C70">
        <v>1187</v>
      </c>
      <c r="D70">
        <v>10248</v>
      </c>
      <c r="E70" s="6">
        <v>0.89619588981198095</v>
      </c>
      <c r="F70" t="s">
        <v>17</v>
      </c>
      <c r="G70" t="s">
        <v>25</v>
      </c>
      <c r="H70" t="s">
        <v>26</v>
      </c>
      <c r="I70">
        <v>28</v>
      </c>
      <c r="J70">
        <v>134</v>
      </c>
    </row>
    <row r="71" spans="1:10" x14ac:dyDescent="0.35">
      <c r="A71" s="1">
        <v>45847</v>
      </c>
      <c r="B71">
        <v>14100</v>
      </c>
      <c r="C71">
        <v>1578.7</v>
      </c>
      <c r="D71">
        <v>12521.3</v>
      </c>
      <c r="E71" s="6">
        <v>0.88803546099290798</v>
      </c>
      <c r="F71" t="s">
        <v>18</v>
      </c>
      <c r="G71" t="s">
        <v>25</v>
      </c>
      <c r="H71" t="s">
        <v>26</v>
      </c>
      <c r="I71">
        <v>28</v>
      </c>
      <c r="J71">
        <v>135</v>
      </c>
    </row>
    <row r="72" spans="1:10" x14ac:dyDescent="0.35">
      <c r="A72" s="1">
        <v>45848</v>
      </c>
      <c r="B72">
        <v>12225</v>
      </c>
      <c r="C72">
        <v>1331</v>
      </c>
      <c r="D72">
        <v>10894</v>
      </c>
      <c r="E72" s="6">
        <v>0.89112474437627798</v>
      </c>
      <c r="F72" t="s">
        <v>12</v>
      </c>
      <c r="G72" t="s">
        <v>25</v>
      </c>
      <c r="H72" t="s">
        <v>26</v>
      </c>
      <c r="I72">
        <v>28</v>
      </c>
      <c r="J72">
        <v>136</v>
      </c>
    </row>
    <row r="73" spans="1:10" x14ac:dyDescent="0.35">
      <c r="A73" s="1">
        <v>45849</v>
      </c>
      <c r="B73">
        <v>21060</v>
      </c>
      <c r="C73">
        <v>963.5</v>
      </c>
      <c r="D73">
        <v>20096.5</v>
      </c>
      <c r="E73" s="6">
        <v>0.95424976258309602</v>
      </c>
      <c r="F73" t="s">
        <v>15</v>
      </c>
      <c r="G73" t="s">
        <v>25</v>
      </c>
      <c r="H73" t="s">
        <v>26</v>
      </c>
      <c r="I73">
        <v>28</v>
      </c>
      <c r="J73">
        <v>137</v>
      </c>
    </row>
    <row r="74" spans="1:10" x14ac:dyDescent="0.35">
      <c r="A74" s="1">
        <v>45852</v>
      </c>
      <c r="B74">
        <v>16107</v>
      </c>
      <c r="C74">
        <v>510.5</v>
      </c>
      <c r="D74">
        <v>15596.5</v>
      </c>
      <c r="E74" s="6">
        <v>0.96830570559384099</v>
      </c>
      <c r="F74" t="s">
        <v>16</v>
      </c>
      <c r="G74" t="s">
        <v>25</v>
      </c>
      <c r="H74" t="s">
        <v>26</v>
      </c>
      <c r="I74">
        <v>29</v>
      </c>
      <c r="J74">
        <v>138</v>
      </c>
    </row>
    <row r="75" spans="1:10" x14ac:dyDescent="0.35">
      <c r="A75" s="1">
        <v>45853</v>
      </c>
      <c r="B75">
        <v>6870</v>
      </c>
      <c r="C75">
        <v>714</v>
      </c>
      <c r="D75">
        <v>6156</v>
      </c>
      <c r="E75" s="6">
        <v>0.89606986899563301</v>
      </c>
      <c r="F75" t="s">
        <v>17</v>
      </c>
      <c r="G75" t="s">
        <v>25</v>
      </c>
      <c r="H75" t="s">
        <v>26</v>
      </c>
      <c r="I75">
        <v>29</v>
      </c>
      <c r="J75">
        <v>139</v>
      </c>
    </row>
    <row r="76" spans="1:10" x14ac:dyDescent="0.35">
      <c r="A76" s="1">
        <v>45854</v>
      </c>
      <c r="B76">
        <v>11145</v>
      </c>
      <c r="C76">
        <v>702</v>
      </c>
      <c r="D76">
        <v>10443</v>
      </c>
      <c r="E76" s="6">
        <v>0.93701211305518195</v>
      </c>
      <c r="F76" t="s">
        <v>18</v>
      </c>
      <c r="G76" t="s">
        <v>25</v>
      </c>
      <c r="H76" t="s">
        <v>26</v>
      </c>
      <c r="I76">
        <v>29</v>
      </c>
      <c r="J76">
        <v>140</v>
      </c>
    </row>
    <row r="77" spans="1:10" x14ac:dyDescent="0.35">
      <c r="A77" s="1">
        <v>45855</v>
      </c>
      <c r="B77">
        <v>14170</v>
      </c>
      <c r="C77">
        <v>1071</v>
      </c>
      <c r="D77">
        <v>13099</v>
      </c>
      <c r="E77" s="6">
        <v>0.92441778405081199</v>
      </c>
      <c r="F77" t="s">
        <v>12</v>
      </c>
      <c r="G77" t="s">
        <v>25</v>
      </c>
      <c r="H77" t="s">
        <v>26</v>
      </c>
      <c r="I77">
        <v>29</v>
      </c>
      <c r="J77">
        <v>141</v>
      </c>
    </row>
    <row r="78" spans="1:10" x14ac:dyDescent="0.35">
      <c r="A78" s="1">
        <v>45856</v>
      </c>
      <c r="B78">
        <v>15470</v>
      </c>
      <c r="C78">
        <v>873</v>
      </c>
      <c r="D78">
        <v>14597</v>
      </c>
      <c r="E78" s="6">
        <v>0.94356819650937296</v>
      </c>
      <c r="F78" t="s">
        <v>15</v>
      </c>
      <c r="G78" t="s">
        <v>25</v>
      </c>
      <c r="H78" t="s">
        <v>26</v>
      </c>
      <c r="I78">
        <v>29</v>
      </c>
      <c r="J78">
        <v>142</v>
      </c>
    </row>
    <row r="79" spans="1:10" x14ac:dyDescent="0.35">
      <c r="A79" s="1">
        <v>45859</v>
      </c>
      <c r="B79">
        <v>10565</v>
      </c>
      <c r="C79">
        <v>854</v>
      </c>
      <c r="D79">
        <v>9711</v>
      </c>
      <c r="E79" s="6">
        <v>0.91916706105063894</v>
      </c>
      <c r="F79" t="s">
        <v>16</v>
      </c>
      <c r="G79" t="s">
        <v>25</v>
      </c>
      <c r="H79" t="s">
        <v>26</v>
      </c>
      <c r="I79">
        <v>30</v>
      </c>
      <c r="J79">
        <v>143</v>
      </c>
    </row>
    <row r="80" spans="1:10" x14ac:dyDescent="0.35">
      <c r="A80" s="1">
        <v>45860</v>
      </c>
      <c r="B80">
        <v>13470</v>
      </c>
      <c r="C80">
        <v>478.5</v>
      </c>
      <c r="D80">
        <v>12991.5</v>
      </c>
      <c r="E80" s="6">
        <v>0.96447661469933199</v>
      </c>
      <c r="F80" t="s">
        <v>17</v>
      </c>
      <c r="G80" t="s">
        <v>25</v>
      </c>
      <c r="H80" t="s">
        <v>26</v>
      </c>
      <c r="I80">
        <v>30</v>
      </c>
      <c r="J80">
        <v>144</v>
      </c>
    </row>
    <row r="81" spans="1:10" x14ac:dyDescent="0.35">
      <c r="A81" s="1">
        <v>45861</v>
      </c>
      <c r="B81">
        <v>15770</v>
      </c>
      <c r="C81">
        <v>718</v>
      </c>
      <c r="D81">
        <v>15052</v>
      </c>
      <c r="E81" s="6">
        <v>0.95447051363348101</v>
      </c>
      <c r="F81" t="s">
        <v>18</v>
      </c>
      <c r="G81" t="s">
        <v>25</v>
      </c>
      <c r="H81" t="s">
        <v>26</v>
      </c>
      <c r="I81">
        <v>30</v>
      </c>
      <c r="J81">
        <v>145</v>
      </c>
    </row>
    <row r="82" spans="1:10" x14ac:dyDescent="0.35">
      <c r="A82" s="1">
        <v>45862</v>
      </c>
      <c r="B82">
        <v>9865</v>
      </c>
      <c r="C82">
        <v>957</v>
      </c>
      <c r="D82">
        <v>8908</v>
      </c>
      <c r="E82" s="6">
        <v>0.90299036999493199</v>
      </c>
      <c r="F82" t="s">
        <v>12</v>
      </c>
      <c r="G82" t="s">
        <v>25</v>
      </c>
      <c r="H82" t="s">
        <v>26</v>
      </c>
      <c r="I82">
        <v>30</v>
      </c>
      <c r="J82">
        <v>146</v>
      </c>
    </row>
    <row r="83" spans="1:10" x14ac:dyDescent="0.35">
      <c r="A83" s="1">
        <v>45863</v>
      </c>
      <c r="B83">
        <v>19583</v>
      </c>
      <c r="C83">
        <v>759.5</v>
      </c>
      <c r="D83">
        <v>18823.5</v>
      </c>
      <c r="E83" s="6">
        <v>0.961216361129551</v>
      </c>
      <c r="F83" t="s">
        <v>15</v>
      </c>
      <c r="G83" t="s">
        <v>25</v>
      </c>
      <c r="H83" t="s">
        <v>26</v>
      </c>
      <c r="I83">
        <v>30</v>
      </c>
      <c r="J83">
        <v>147</v>
      </c>
    </row>
    <row r="84" spans="1:10" x14ac:dyDescent="0.35">
      <c r="A84" s="1">
        <v>45866</v>
      </c>
      <c r="B84">
        <v>21715</v>
      </c>
      <c r="C84">
        <v>668.5</v>
      </c>
      <c r="D84">
        <v>21046.5</v>
      </c>
      <c r="E84" s="6">
        <v>0.96921482845958995</v>
      </c>
      <c r="F84" t="s">
        <v>16</v>
      </c>
      <c r="G84" t="s">
        <v>25</v>
      </c>
      <c r="H84" t="s">
        <v>26</v>
      </c>
      <c r="I84">
        <v>31</v>
      </c>
      <c r="J84">
        <v>148</v>
      </c>
    </row>
    <row r="85" spans="1:10" x14ac:dyDescent="0.35">
      <c r="A85" s="1">
        <v>45867</v>
      </c>
      <c r="B85">
        <v>11744</v>
      </c>
      <c r="C85">
        <v>590</v>
      </c>
      <c r="D85">
        <v>11154</v>
      </c>
      <c r="E85" s="6">
        <v>0.94976158038147096</v>
      </c>
      <c r="F85" t="s">
        <v>17</v>
      </c>
      <c r="G85" t="s">
        <v>25</v>
      </c>
      <c r="H85" t="s">
        <v>26</v>
      </c>
      <c r="I85">
        <v>31</v>
      </c>
      <c r="J85">
        <v>149</v>
      </c>
    </row>
    <row r="86" spans="1:10" x14ac:dyDescent="0.35">
      <c r="A86" s="1">
        <v>45868</v>
      </c>
      <c r="B86">
        <v>10720</v>
      </c>
      <c r="C86">
        <v>855</v>
      </c>
      <c r="D86">
        <v>9865</v>
      </c>
      <c r="E86" s="6">
        <v>0.92024253731343297</v>
      </c>
      <c r="F86" t="s">
        <v>18</v>
      </c>
      <c r="G86" t="s">
        <v>25</v>
      </c>
      <c r="H86" t="s">
        <v>26</v>
      </c>
      <c r="I86">
        <v>31</v>
      </c>
      <c r="J86">
        <v>150</v>
      </c>
    </row>
    <row r="87" spans="1:10" x14ac:dyDescent="0.35">
      <c r="A87" s="1">
        <v>45869</v>
      </c>
      <c r="B87">
        <v>15225</v>
      </c>
      <c r="C87">
        <v>990</v>
      </c>
      <c r="D87">
        <v>14235</v>
      </c>
      <c r="E87" s="6">
        <v>0.93497536945812798</v>
      </c>
      <c r="F87" t="s">
        <v>12</v>
      </c>
      <c r="G87" t="s">
        <v>25</v>
      </c>
      <c r="H87" t="s">
        <v>26</v>
      </c>
      <c r="I87">
        <v>31</v>
      </c>
      <c r="J87">
        <v>151</v>
      </c>
    </row>
    <row r="88" spans="1:10" x14ac:dyDescent="0.35">
      <c r="A88" s="1">
        <v>45870</v>
      </c>
      <c r="B88">
        <v>23718</v>
      </c>
      <c r="C88">
        <v>1888</v>
      </c>
      <c r="D88">
        <v>21830</v>
      </c>
      <c r="E88" s="6">
        <v>0.92039800995024901</v>
      </c>
      <c r="F88" t="s">
        <v>15</v>
      </c>
      <c r="G88" t="s">
        <v>27</v>
      </c>
      <c r="H88" t="s">
        <v>26</v>
      </c>
      <c r="I88">
        <v>31</v>
      </c>
      <c r="J88">
        <v>152</v>
      </c>
    </row>
    <row r="89" spans="1:10" x14ac:dyDescent="0.35">
      <c r="A89" s="1">
        <v>45873</v>
      </c>
      <c r="B89">
        <v>22072</v>
      </c>
      <c r="C89">
        <v>856.5</v>
      </c>
      <c r="D89">
        <v>21215.5</v>
      </c>
      <c r="E89" s="6">
        <v>0.96119517941283095</v>
      </c>
      <c r="F89" t="s">
        <v>16</v>
      </c>
      <c r="G89" t="s">
        <v>27</v>
      </c>
      <c r="H89" t="s">
        <v>26</v>
      </c>
      <c r="I89">
        <v>32</v>
      </c>
      <c r="J89">
        <v>153</v>
      </c>
    </row>
    <row r="90" spans="1:10" x14ac:dyDescent="0.35">
      <c r="A90" s="1">
        <v>45874</v>
      </c>
      <c r="B90">
        <v>16810</v>
      </c>
      <c r="C90">
        <v>916.5</v>
      </c>
      <c r="D90">
        <v>15893.5</v>
      </c>
      <c r="E90" s="6">
        <v>0.94547888161808402</v>
      </c>
      <c r="F90" t="s">
        <v>17</v>
      </c>
      <c r="G90" t="s">
        <v>27</v>
      </c>
      <c r="H90" t="s">
        <v>26</v>
      </c>
      <c r="I90">
        <v>32</v>
      </c>
      <c r="J90">
        <v>154</v>
      </c>
    </row>
    <row r="91" spans="1:10" x14ac:dyDescent="0.35">
      <c r="A91" s="1">
        <v>45875</v>
      </c>
      <c r="B91">
        <v>18845</v>
      </c>
      <c r="C91">
        <v>1157</v>
      </c>
      <c r="D91">
        <v>17688</v>
      </c>
      <c r="E91" s="6">
        <v>0.938604404351287</v>
      </c>
      <c r="F91" t="s">
        <v>18</v>
      </c>
      <c r="G91" t="s">
        <v>27</v>
      </c>
      <c r="H91" t="s">
        <v>26</v>
      </c>
      <c r="I91">
        <v>32</v>
      </c>
      <c r="J91">
        <v>155</v>
      </c>
    </row>
    <row r="92" spans="1:10" x14ac:dyDescent="0.35">
      <c r="A92" s="1">
        <v>45876</v>
      </c>
      <c r="B92">
        <v>16460</v>
      </c>
      <c r="C92">
        <v>1667</v>
      </c>
      <c r="D92">
        <v>14793</v>
      </c>
      <c r="E92" s="6">
        <v>0.89872417982989095</v>
      </c>
      <c r="F92" t="s">
        <v>12</v>
      </c>
      <c r="G92" t="s">
        <v>27</v>
      </c>
      <c r="H92" t="s">
        <v>26</v>
      </c>
      <c r="I92">
        <v>32</v>
      </c>
      <c r="J92">
        <v>156</v>
      </c>
    </row>
    <row r="93" spans="1:10" x14ac:dyDescent="0.35">
      <c r="A93" s="1">
        <v>45877</v>
      </c>
      <c r="B93">
        <v>22504</v>
      </c>
      <c r="C93">
        <v>1035</v>
      </c>
      <c r="D93">
        <v>21469</v>
      </c>
      <c r="E93" s="6">
        <v>0.95400817632420898</v>
      </c>
      <c r="F93" t="s">
        <v>15</v>
      </c>
      <c r="G93" t="s">
        <v>27</v>
      </c>
      <c r="H93" t="s">
        <v>26</v>
      </c>
      <c r="I93">
        <v>32</v>
      </c>
      <c r="J93">
        <v>157</v>
      </c>
    </row>
    <row r="94" spans="1:10" x14ac:dyDescent="0.35">
      <c r="A94" s="1">
        <v>45880</v>
      </c>
      <c r="B94">
        <v>12820</v>
      </c>
      <c r="C94">
        <v>1231</v>
      </c>
      <c r="D94">
        <v>11589</v>
      </c>
      <c r="E94" s="6">
        <v>0.90397815912636503</v>
      </c>
      <c r="F94" t="s">
        <v>16</v>
      </c>
      <c r="G94" t="s">
        <v>27</v>
      </c>
      <c r="H94" t="s">
        <v>26</v>
      </c>
      <c r="I94">
        <v>33</v>
      </c>
      <c r="J94">
        <v>158</v>
      </c>
    </row>
    <row r="95" spans="1:10" x14ac:dyDescent="0.35">
      <c r="A95" s="1">
        <v>45881</v>
      </c>
      <c r="B95">
        <v>12955</v>
      </c>
      <c r="C95">
        <v>1692.8</v>
      </c>
      <c r="D95">
        <v>11262.2</v>
      </c>
      <c r="E95" s="6">
        <v>0.86933230412967999</v>
      </c>
      <c r="F95" t="s">
        <v>17</v>
      </c>
      <c r="G95" t="s">
        <v>27</v>
      </c>
      <c r="H95" t="s">
        <v>26</v>
      </c>
      <c r="I95">
        <v>33</v>
      </c>
      <c r="J95">
        <v>159</v>
      </c>
    </row>
    <row r="96" spans="1:10" x14ac:dyDescent="0.35">
      <c r="A96" s="1">
        <v>45882</v>
      </c>
      <c r="B96">
        <v>11602</v>
      </c>
      <c r="C96">
        <v>812.5</v>
      </c>
      <c r="D96">
        <v>10789.5</v>
      </c>
      <c r="E96" s="6">
        <v>0.92996897086709196</v>
      </c>
      <c r="F96" t="s">
        <v>18</v>
      </c>
      <c r="G96" t="s">
        <v>27</v>
      </c>
      <c r="H96" t="s">
        <v>26</v>
      </c>
      <c r="I96">
        <v>33</v>
      </c>
      <c r="J96">
        <v>160</v>
      </c>
    </row>
    <row r="97" spans="1:10" x14ac:dyDescent="0.35">
      <c r="A97" s="1">
        <v>45883</v>
      </c>
      <c r="B97">
        <v>16008</v>
      </c>
      <c r="C97">
        <v>1135</v>
      </c>
      <c r="D97">
        <v>14873</v>
      </c>
      <c r="E97" s="6">
        <v>0.929097951024488</v>
      </c>
      <c r="F97" t="s">
        <v>12</v>
      </c>
      <c r="G97" t="s">
        <v>27</v>
      </c>
      <c r="H97" t="s">
        <v>26</v>
      </c>
      <c r="I97">
        <v>33</v>
      </c>
      <c r="J97">
        <v>161</v>
      </c>
    </row>
    <row r="98" spans="1:10" x14ac:dyDescent="0.35">
      <c r="A98" s="1">
        <v>45884</v>
      </c>
      <c r="B98">
        <v>23269</v>
      </c>
      <c r="C98">
        <v>1444</v>
      </c>
      <c r="D98">
        <v>21825</v>
      </c>
      <c r="E98" s="6">
        <v>0.93794318621341699</v>
      </c>
      <c r="F98" t="s">
        <v>15</v>
      </c>
      <c r="G98" t="s">
        <v>27</v>
      </c>
      <c r="H98" t="s">
        <v>26</v>
      </c>
      <c r="I98">
        <v>33</v>
      </c>
      <c r="J98">
        <v>162</v>
      </c>
    </row>
    <row r="99" spans="1:10" x14ac:dyDescent="0.35">
      <c r="A99" s="1">
        <v>45887</v>
      </c>
      <c r="B99">
        <v>14217.5</v>
      </c>
      <c r="C99">
        <v>1501.5</v>
      </c>
      <c r="D99">
        <v>12716</v>
      </c>
      <c r="E99" s="6">
        <v>0.89439071566731099</v>
      </c>
      <c r="F99" t="s">
        <v>16</v>
      </c>
      <c r="G99" t="s">
        <v>27</v>
      </c>
      <c r="H99" t="s">
        <v>26</v>
      </c>
      <c r="I99">
        <v>34</v>
      </c>
      <c r="J99">
        <v>163</v>
      </c>
    </row>
    <row r="100" spans="1:10" x14ac:dyDescent="0.35">
      <c r="A100" s="1">
        <v>45888</v>
      </c>
      <c r="B100">
        <v>14475</v>
      </c>
      <c r="C100">
        <v>662</v>
      </c>
      <c r="D100">
        <v>13813</v>
      </c>
      <c r="E100" s="6">
        <v>0.95426597582037997</v>
      </c>
      <c r="F100" t="s">
        <v>17</v>
      </c>
      <c r="G100" t="s">
        <v>27</v>
      </c>
      <c r="H100" t="s">
        <v>26</v>
      </c>
      <c r="I100">
        <v>34</v>
      </c>
      <c r="J100">
        <v>164</v>
      </c>
    </row>
    <row r="101" spans="1:10" x14ac:dyDescent="0.35">
      <c r="A101" s="1">
        <v>45889</v>
      </c>
      <c r="B101">
        <v>10201</v>
      </c>
      <c r="C101">
        <v>708</v>
      </c>
      <c r="D101">
        <v>9493</v>
      </c>
      <c r="E101" s="6">
        <v>0.93059503970198998</v>
      </c>
      <c r="F101" t="s">
        <v>18</v>
      </c>
      <c r="G101" t="s">
        <v>27</v>
      </c>
      <c r="H101" t="s">
        <v>26</v>
      </c>
      <c r="I101">
        <v>34</v>
      </c>
      <c r="J101">
        <v>165</v>
      </c>
    </row>
    <row r="102" spans="1:10" x14ac:dyDescent="0.35">
      <c r="A102" s="1">
        <v>45890</v>
      </c>
      <c r="B102">
        <v>9600</v>
      </c>
      <c r="C102">
        <v>950.5</v>
      </c>
      <c r="D102">
        <v>8649.5</v>
      </c>
      <c r="E102" s="6">
        <v>0.90098958333333301</v>
      </c>
      <c r="F102" t="s">
        <v>12</v>
      </c>
      <c r="G102" t="s">
        <v>27</v>
      </c>
      <c r="H102" t="s">
        <v>26</v>
      </c>
      <c r="I102">
        <v>34</v>
      </c>
      <c r="J102">
        <v>166</v>
      </c>
    </row>
    <row r="103" spans="1:10" x14ac:dyDescent="0.35">
      <c r="A103" s="1">
        <v>45891</v>
      </c>
      <c r="B103">
        <v>15782</v>
      </c>
      <c r="C103">
        <v>958</v>
      </c>
      <c r="D103">
        <v>14824</v>
      </c>
      <c r="E103" s="6">
        <v>0.93929793435559505</v>
      </c>
      <c r="F103" t="s">
        <v>15</v>
      </c>
      <c r="G103" t="s">
        <v>27</v>
      </c>
      <c r="H103" t="s">
        <v>26</v>
      </c>
      <c r="I103">
        <v>34</v>
      </c>
      <c r="J103">
        <v>167</v>
      </c>
    </row>
    <row r="104" spans="1:10" x14ac:dyDescent="0.35">
      <c r="A104" s="1">
        <v>45894</v>
      </c>
      <c r="B104">
        <v>20190</v>
      </c>
      <c r="C104">
        <v>639</v>
      </c>
      <c r="D104">
        <v>19551</v>
      </c>
      <c r="E104" s="6">
        <v>0.96835066864784602</v>
      </c>
      <c r="F104" t="s">
        <v>16</v>
      </c>
      <c r="G104" t="s">
        <v>27</v>
      </c>
      <c r="H104" t="s">
        <v>26</v>
      </c>
      <c r="I104">
        <v>35</v>
      </c>
      <c r="J104">
        <v>168</v>
      </c>
    </row>
    <row r="105" spans="1:10" x14ac:dyDescent="0.35">
      <c r="A105" s="1">
        <v>45895</v>
      </c>
      <c r="B105">
        <v>12530</v>
      </c>
      <c r="C105">
        <v>547</v>
      </c>
      <c r="D105">
        <v>11983</v>
      </c>
      <c r="E105" s="6">
        <v>0.95634477254589001</v>
      </c>
      <c r="F105" t="s">
        <v>17</v>
      </c>
      <c r="G105" t="s">
        <v>27</v>
      </c>
      <c r="H105" t="s">
        <v>26</v>
      </c>
      <c r="I105">
        <v>35</v>
      </c>
      <c r="J105">
        <v>169</v>
      </c>
    </row>
    <row r="106" spans="1:10" x14ac:dyDescent="0.35">
      <c r="A106" s="1">
        <v>45896</v>
      </c>
      <c r="B106">
        <v>17314</v>
      </c>
      <c r="C106">
        <v>750</v>
      </c>
      <c r="D106">
        <v>16564</v>
      </c>
      <c r="E106" s="6">
        <v>0.95668245350583403</v>
      </c>
      <c r="F106" t="s">
        <v>18</v>
      </c>
      <c r="G106" t="s">
        <v>27</v>
      </c>
      <c r="H106" t="s">
        <v>26</v>
      </c>
      <c r="I106">
        <v>35</v>
      </c>
      <c r="J106">
        <v>170</v>
      </c>
    </row>
    <row r="107" spans="1:10" x14ac:dyDescent="0.35">
      <c r="A107" s="1">
        <v>45897</v>
      </c>
      <c r="B107">
        <v>15950</v>
      </c>
      <c r="C107">
        <v>1077</v>
      </c>
      <c r="D107">
        <v>14873</v>
      </c>
      <c r="E107" s="6">
        <v>0.93247648902821301</v>
      </c>
      <c r="F107" t="s">
        <v>12</v>
      </c>
      <c r="G107" t="s">
        <v>27</v>
      </c>
      <c r="H107" t="s">
        <v>26</v>
      </c>
      <c r="I107">
        <v>35</v>
      </c>
      <c r="J107">
        <v>171</v>
      </c>
    </row>
    <row r="108" spans="1:10" x14ac:dyDescent="0.35">
      <c r="A108" s="1">
        <v>45898</v>
      </c>
      <c r="B108">
        <v>19480</v>
      </c>
      <c r="C108">
        <v>950</v>
      </c>
      <c r="D108">
        <v>18530</v>
      </c>
      <c r="E108" s="6">
        <v>0.95123203285420899</v>
      </c>
      <c r="F108" t="s">
        <v>15</v>
      </c>
      <c r="G108" t="s">
        <v>27</v>
      </c>
      <c r="H108" t="s">
        <v>26</v>
      </c>
      <c r="I108">
        <v>35</v>
      </c>
      <c r="J108">
        <v>172</v>
      </c>
    </row>
    <row r="109" spans="1:10" x14ac:dyDescent="0.35">
      <c r="A109" s="1">
        <v>45901</v>
      </c>
      <c r="B109">
        <v>9805</v>
      </c>
      <c r="C109">
        <v>662</v>
      </c>
      <c r="D109">
        <v>9143</v>
      </c>
      <c r="E109" s="6">
        <v>0.93248342682304897</v>
      </c>
      <c r="F109" t="s">
        <v>16</v>
      </c>
      <c r="G109" t="s">
        <v>28</v>
      </c>
      <c r="H109" t="s">
        <v>26</v>
      </c>
      <c r="I109">
        <v>36</v>
      </c>
      <c r="J109">
        <v>173</v>
      </c>
    </row>
    <row r="110" spans="1:10" x14ac:dyDescent="0.35">
      <c r="A110" s="1">
        <v>45902</v>
      </c>
      <c r="B110">
        <v>1925</v>
      </c>
      <c r="C110">
        <v>772</v>
      </c>
      <c r="D110">
        <v>1153</v>
      </c>
      <c r="E110" s="6">
        <v>0.59896103896103903</v>
      </c>
      <c r="F110" t="s">
        <v>17</v>
      </c>
      <c r="G110" t="s">
        <v>28</v>
      </c>
      <c r="H110" t="s">
        <v>26</v>
      </c>
      <c r="I110">
        <v>36</v>
      </c>
      <c r="J110">
        <v>174</v>
      </c>
    </row>
    <row r="111" spans="1:10" x14ac:dyDescent="0.35">
      <c r="A111" s="1">
        <v>45903</v>
      </c>
      <c r="B111">
        <v>14045</v>
      </c>
      <c r="C111">
        <v>1003.8</v>
      </c>
      <c r="D111">
        <v>13041.2</v>
      </c>
      <c r="E111" s="6">
        <v>0.92852972588109595</v>
      </c>
      <c r="F111" t="s">
        <v>18</v>
      </c>
      <c r="G111" t="s">
        <v>28</v>
      </c>
      <c r="H111" t="s">
        <v>26</v>
      </c>
      <c r="I111">
        <v>36</v>
      </c>
      <c r="J111">
        <v>175</v>
      </c>
    </row>
    <row r="112" spans="1:10" x14ac:dyDescent="0.35">
      <c r="A112" s="1">
        <v>45904</v>
      </c>
      <c r="B112">
        <v>12595</v>
      </c>
      <c r="C112">
        <v>1202</v>
      </c>
      <c r="D112">
        <v>11393</v>
      </c>
      <c r="E112" s="6">
        <v>0.90456530369194099</v>
      </c>
      <c r="F112" t="s">
        <v>12</v>
      </c>
      <c r="G112" t="s">
        <v>28</v>
      </c>
      <c r="H112" t="s">
        <v>26</v>
      </c>
      <c r="I112">
        <v>36</v>
      </c>
      <c r="J112">
        <v>176</v>
      </c>
    </row>
    <row r="113" spans="1:10" x14ac:dyDescent="0.35">
      <c r="A113" s="1">
        <v>45905</v>
      </c>
      <c r="B113">
        <v>30545</v>
      </c>
      <c r="C113">
        <v>1437</v>
      </c>
      <c r="D113">
        <v>29108</v>
      </c>
      <c r="E113" s="6">
        <v>0.95295465706334903</v>
      </c>
      <c r="F113" t="s">
        <v>15</v>
      </c>
      <c r="G113" t="s">
        <v>28</v>
      </c>
      <c r="H113" t="s">
        <v>26</v>
      </c>
      <c r="I113">
        <v>36</v>
      </c>
      <c r="J113">
        <v>177</v>
      </c>
    </row>
    <row r="114" spans="1:10" x14ac:dyDescent="0.35">
      <c r="A114" s="1">
        <v>45908</v>
      </c>
      <c r="B114">
        <v>13550</v>
      </c>
      <c r="C114">
        <v>610</v>
      </c>
      <c r="D114">
        <v>12940</v>
      </c>
      <c r="E114" s="6">
        <v>0.95498154981549799</v>
      </c>
      <c r="F114" t="s">
        <v>16</v>
      </c>
      <c r="G114" t="s">
        <v>28</v>
      </c>
      <c r="H114" t="s">
        <v>26</v>
      </c>
      <c r="I114">
        <v>37</v>
      </c>
      <c r="J114">
        <v>178</v>
      </c>
    </row>
    <row r="115" spans="1:10" x14ac:dyDescent="0.35">
      <c r="A115" s="1">
        <v>45909</v>
      </c>
      <c r="B115">
        <v>14770</v>
      </c>
      <c r="C115">
        <v>770</v>
      </c>
      <c r="D115">
        <v>14000</v>
      </c>
      <c r="E115" s="6">
        <v>0.94786729857819896</v>
      </c>
      <c r="F115" t="s">
        <v>17</v>
      </c>
      <c r="G115" t="s">
        <v>28</v>
      </c>
      <c r="H115" t="s">
        <v>26</v>
      </c>
      <c r="I115">
        <v>37</v>
      </c>
      <c r="J115">
        <v>179</v>
      </c>
    </row>
    <row r="116" spans="1:10" x14ac:dyDescent="0.35">
      <c r="A116" s="1">
        <v>45910</v>
      </c>
      <c r="B116">
        <v>8507</v>
      </c>
      <c r="C116">
        <v>551</v>
      </c>
      <c r="D116">
        <v>7956</v>
      </c>
      <c r="E116" s="6">
        <v>0.93522981074409295</v>
      </c>
      <c r="F116" t="s">
        <v>18</v>
      </c>
      <c r="G116" t="s">
        <v>28</v>
      </c>
      <c r="H116" t="s">
        <v>26</v>
      </c>
      <c r="I116">
        <v>37</v>
      </c>
      <c r="J116">
        <v>180</v>
      </c>
    </row>
    <row r="117" spans="1:10" x14ac:dyDescent="0.35">
      <c r="A117" s="1">
        <v>45911</v>
      </c>
      <c r="B117">
        <v>11250</v>
      </c>
      <c r="C117">
        <v>1173</v>
      </c>
      <c r="D117">
        <v>10077</v>
      </c>
      <c r="E117" s="6">
        <v>0.89573333333333405</v>
      </c>
      <c r="F117" t="s">
        <v>12</v>
      </c>
      <c r="G117" t="s">
        <v>28</v>
      </c>
      <c r="H117" t="s">
        <v>26</v>
      </c>
      <c r="I117">
        <v>37</v>
      </c>
      <c r="J117">
        <v>181</v>
      </c>
    </row>
    <row r="118" spans="1:10" x14ac:dyDescent="0.35">
      <c r="A118" s="1">
        <v>45912</v>
      </c>
      <c r="B118">
        <v>24186</v>
      </c>
      <c r="C118">
        <v>786</v>
      </c>
      <c r="D118">
        <v>23400</v>
      </c>
      <c r="E118" s="6">
        <v>0.96750186058050103</v>
      </c>
      <c r="F118" t="s">
        <v>15</v>
      </c>
      <c r="G118" t="s">
        <v>28</v>
      </c>
      <c r="H118" t="s">
        <v>26</v>
      </c>
      <c r="I118">
        <v>37</v>
      </c>
      <c r="J118">
        <v>182</v>
      </c>
    </row>
    <row r="119" spans="1:10" x14ac:dyDescent="0.35">
      <c r="A119" s="1">
        <v>45915</v>
      </c>
      <c r="B119">
        <v>11225</v>
      </c>
      <c r="C119">
        <v>809</v>
      </c>
      <c r="D119">
        <v>10416</v>
      </c>
      <c r="E119" s="6">
        <v>0.927928730512249</v>
      </c>
      <c r="F119" t="s">
        <v>16</v>
      </c>
      <c r="G119" t="s">
        <v>28</v>
      </c>
      <c r="H119" t="s">
        <v>26</v>
      </c>
      <c r="I119">
        <v>38</v>
      </c>
      <c r="J119">
        <v>183</v>
      </c>
    </row>
    <row r="120" spans="1:10" x14ac:dyDescent="0.35">
      <c r="A120" s="1">
        <v>45916</v>
      </c>
      <c r="B120">
        <v>10535</v>
      </c>
      <c r="C120">
        <v>529</v>
      </c>
      <c r="D120">
        <v>10006</v>
      </c>
      <c r="E120" s="6">
        <v>0.94978642619838605</v>
      </c>
      <c r="F120" t="s">
        <v>17</v>
      </c>
      <c r="G120" t="s">
        <v>28</v>
      </c>
      <c r="H120" t="s">
        <v>26</v>
      </c>
      <c r="I120">
        <v>38</v>
      </c>
      <c r="J120">
        <v>184</v>
      </c>
    </row>
    <row r="121" spans="1:10" x14ac:dyDescent="0.35">
      <c r="A121" s="1">
        <v>45917</v>
      </c>
      <c r="B121">
        <v>15230</v>
      </c>
      <c r="C121">
        <v>797.5</v>
      </c>
      <c r="D121">
        <v>14432.5</v>
      </c>
      <c r="E121" s="6">
        <v>0.94763624425476001</v>
      </c>
      <c r="F121" t="s">
        <v>18</v>
      </c>
      <c r="G121" t="s">
        <v>28</v>
      </c>
      <c r="H121" t="s">
        <v>26</v>
      </c>
      <c r="I121">
        <v>38</v>
      </c>
      <c r="J121">
        <v>185</v>
      </c>
    </row>
    <row r="122" spans="1:10" x14ac:dyDescent="0.35">
      <c r="A122" s="1">
        <v>45918</v>
      </c>
      <c r="B122">
        <v>9425</v>
      </c>
      <c r="C122">
        <v>527</v>
      </c>
      <c r="D122">
        <v>8898</v>
      </c>
      <c r="E122" s="6">
        <v>0.94408488063660501</v>
      </c>
      <c r="F122" t="s">
        <v>12</v>
      </c>
      <c r="G122" t="s">
        <v>28</v>
      </c>
      <c r="H122" t="s">
        <v>26</v>
      </c>
      <c r="I122">
        <v>38</v>
      </c>
      <c r="J122">
        <v>186</v>
      </c>
    </row>
    <row r="123" spans="1:10" x14ac:dyDescent="0.35">
      <c r="A123" s="1">
        <v>45919</v>
      </c>
      <c r="B123">
        <v>18425</v>
      </c>
      <c r="C123">
        <v>370.5</v>
      </c>
      <c r="D123">
        <v>18054.5</v>
      </c>
      <c r="E123" s="6">
        <v>0.97989145183174997</v>
      </c>
      <c r="F123" t="s">
        <v>15</v>
      </c>
      <c r="G123" t="s">
        <v>28</v>
      </c>
      <c r="H123" t="s">
        <v>26</v>
      </c>
      <c r="I123">
        <v>38</v>
      </c>
      <c r="J123">
        <v>187</v>
      </c>
    </row>
    <row r="124" spans="1:10" x14ac:dyDescent="0.35">
      <c r="A124" s="1">
        <v>45922</v>
      </c>
      <c r="B124">
        <v>19315</v>
      </c>
      <c r="C124">
        <v>795</v>
      </c>
      <c r="D124">
        <v>18520</v>
      </c>
      <c r="E124" s="6">
        <v>0.95884027957546003</v>
      </c>
      <c r="F124" t="s">
        <v>16</v>
      </c>
      <c r="G124" t="s">
        <v>28</v>
      </c>
      <c r="H124" t="s">
        <v>26</v>
      </c>
      <c r="I124">
        <v>39</v>
      </c>
      <c r="J124">
        <v>188</v>
      </c>
    </row>
    <row r="125" spans="1:10" x14ac:dyDescent="0.35">
      <c r="A125" s="1">
        <v>45923</v>
      </c>
      <c r="B125">
        <v>15499</v>
      </c>
      <c r="C125">
        <v>595.5</v>
      </c>
      <c r="D125">
        <v>14903.5</v>
      </c>
      <c r="E125" s="6">
        <v>0.96157816633331195</v>
      </c>
      <c r="F125" t="s">
        <v>17</v>
      </c>
      <c r="G125" t="s">
        <v>28</v>
      </c>
      <c r="H125" t="s">
        <v>26</v>
      </c>
      <c r="I125">
        <v>39</v>
      </c>
      <c r="J125">
        <v>189</v>
      </c>
    </row>
    <row r="126" spans="1:10" x14ac:dyDescent="0.35">
      <c r="A126" s="1">
        <v>45924</v>
      </c>
      <c r="B126">
        <v>15158</v>
      </c>
      <c r="C126">
        <v>470</v>
      </c>
      <c r="D126">
        <v>14688</v>
      </c>
      <c r="E126" s="6">
        <v>0.96899327088006404</v>
      </c>
      <c r="F126" t="s">
        <v>18</v>
      </c>
      <c r="G126" t="s">
        <v>28</v>
      </c>
      <c r="H126" t="s">
        <v>26</v>
      </c>
      <c r="I126">
        <v>39</v>
      </c>
      <c r="J126">
        <v>190</v>
      </c>
    </row>
    <row r="127" spans="1:10" x14ac:dyDescent="0.35">
      <c r="A127" s="1">
        <v>45925</v>
      </c>
      <c r="B127">
        <v>10770</v>
      </c>
      <c r="C127">
        <v>1051.5</v>
      </c>
      <c r="D127">
        <v>9718.5</v>
      </c>
      <c r="E127" s="6">
        <v>0.90236768802228395</v>
      </c>
      <c r="F127" t="s">
        <v>12</v>
      </c>
      <c r="G127" t="s">
        <v>28</v>
      </c>
      <c r="H127" t="s">
        <v>26</v>
      </c>
      <c r="I127">
        <v>39</v>
      </c>
      <c r="J127">
        <v>191</v>
      </c>
    </row>
    <row r="128" spans="1:10" x14ac:dyDescent="0.35">
      <c r="A128" s="1">
        <v>45926</v>
      </c>
      <c r="B128">
        <v>18335</v>
      </c>
      <c r="C128">
        <v>874</v>
      </c>
      <c r="D128">
        <v>17461</v>
      </c>
      <c r="E128" s="6">
        <v>0.95233160621761603</v>
      </c>
      <c r="F128" t="s">
        <v>15</v>
      </c>
      <c r="G128" t="s">
        <v>28</v>
      </c>
      <c r="H128" t="s">
        <v>26</v>
      </c>
      <c r="I128">
        <v>39</v>
      </c>
      <c r="J128">
        <v>192</v>
      </c>
    </row>
    <row r="129" spans="1:10" x14ac:dyDescent="0.35">
      <c r="A129" s="1">
        <v>45929</v>
      </c>
      <c r="B129">
        <v>19135</v>
      </c>
      <c r="C129">
        <v>727.5</v>
      </c>
      <c r="D129">
        <v>18407.5</v>
      </c>
      <c r="E129" s="6">
        <v>0.96198066370525204</v>
      </c>
      <c r="F129" t="s">
        <v>16</v>
      </c>
      <c r="G129" t="s">
        <v>28</v>
      </c>
      <c r="H129" t="s">
        <v>26</v>
      </c>
      <c r="I129">
        <v>40</v>
      </c>
      <c r="J129">
        <v>193</v>
      </c>
    </row>
    <row r="130" spans="1:10" x14ac:dyDescent="0.35">
      <c r="A130" s="1">
        <v>45930</v>
      </c>
      <c r="B130">
        <v>13940</v>
      </c>
      <c r="C130">
        <v>596</v>
      </c>
      <c r="D130">
        <v>13344</v>
      </c>
      <c r="E130" s="6">
        <v>0.95724533715925397</v>
      </c>
      <c r="F130" t="s">
        <v>17</v>
      </c>
      <c r="G130" t="s">
        <v>28</v>
      </c>
      <c r="H130" t="s">
        <v>26</v>
      </c>
      <c r="I130">
        <v>40</v>
      </c>
      <c r="J130">
        <v>194</v>
      </c>
    </row>
    <row r="131" spans="1:10" x14ac:dyDescent="0.35">
      <c r="A131" s="1">
        <v>45748</v>
      </c>
      <c r="B131">
        <v>9440</v>
      </c>
      <c r="C131">
        <v>514.49</v>
      </c>
      <c r="D131">
        <v>8925.51</v>
      </c>
      <c r="E131" s="6">
        <v>0.94549894067796603</v>
      </c>
      <c r="F131" t="s">
        <v>17</v>
      </c>
      <c r="G131" t="s">
        <v>21</v>
      </c>
      <c r="H131" t="s">
        <v>22</v>
      </c>
      <c r="I131">
        <v>14</v>
      </c>
      <c r="J131">
        <v>64</v>
      </c>
    </row>
    <row r="132" spans="1:10" x14ac:dyDescent="0.35">
      <c r="A132" s="1">
        <v>45749</v>
      </c>
      <c r="B132">
        <v>15295</v>
      </c>
      <c r="C132">
        <v>983.5</v>
      </c>
      <c r="D132">
        <v>14311.5</v>
      </c>
      <c r="E132" s="6">
        <v>0.93569794050343202</v>
      </c>
      <c r="F132" t="s">
        <v>18</v>
      </c>
      <c r="G132" t="s">
        <v>21</v>
      </c>
      <c r="H132" t="s">
        <v>22</v>
      </c>
      <c r="I132">
        <v>14</v>
      </c>
      <c r="J132">
        <v>65</v>
      </c>
    </row>
    <row r="133" spans="1:10" x14ac:dyDescent="0.35">
      <c r="A133" s="1">
        <v>45750</v>
      </c>
      <c r="B133">
        <v>10985</v>
      </c>
      <c r="C133">
        <v>616.5</v>
      </c>
      <c r="D133">
        <v>10368.5</v>
      </c>
      <c r="E133" s="6">
        <v>0.94387801547564898</v>
      </c>
      <c r="F133" t="s">
        <v>12</v>
      </c>
      <c r="G133" t="s">
        <v>21</v>
      </c>
      <c r="H133" t="s">
        <v>22</v>
      </c>
      <c r="I133">
        <v>14</v>
      </c>
      <c r="J133">
        <v>66</v>
      </c>
    </row>
    <row r="134" spans="1:10" x14ac:dyDescent="0.35">
      <c r="A134" s="1">
        <v>45751</v>
      </c>
      <c r="B134">
        <v>11670</v>
      </c>
      <c r="C134">
        <v>2923</v>
      </c>
      <c r="D134">
        <v>8747</v>
      </c>
      <c r="E134" s="6">
        <v>0.74952870608397604</v>
      </c>
      <c r="F134" t="s">
        <v>15</v>
      </c>
      <c r="G134" t="s">
        <v>21</v>
      </c>
      <c r="H134" t="s">
        <v>22</v>
      </c>
      <c r="I134">
        <v>14</v>
      </c>
      <c r="J134">
        <v>67</v>
      </c>
    </row>
    <row r="135" spans="1:10" x14ac:dyDescent="0.35">
      <c r="A135" s="1">
        <v>45754</v>
      </c>
      <c r="B135">
        <v>21235</v>
      </c>
      <c r="C135">
        <v>927</v>
      </c>
      <c r="D135">
        <v>20308</v>
      </c>
      <c r="E135" s="6">
        <v>0.95634565575700503</v>
      </c>
      <c r="F135" t="s">
        <v>16</v>
      </c>
      <c r="G135" t="s">
        <v>21</v>
      </c>
      <c r="H135" t="s">
        <v>22</v>
      </c>
      <c r="I135">
        <v>15</v>
      </c>
      <c r="J135">
        <v>68</v>
      </c>
    </row>
    <row r="136" spans="1:10" x14ac:dyDescent="0.35">
      <c r="A136" s="1">
        <v>45755</v>
      </c>
      <c r="B136">
        <v>10685</v>
      </c>
      <c r="C136">
        <v>968.91</v>
      </c>
      <c r="D136">
        <v>9716.09</v>
      </c>
      <c r="E136" s="6">
        <v>0.90932054281703301</v>
      </c>
      <c r="F136" t="s">
        <v>17</v>
      </c>
      <c r="G136" t="s">
        <v>21</v>
      </c>
      <c r="H136" t="s">
        <v>22</v>
      </c>
      <c r="I136">
        <v>15</v>
      </c>
      <c r="J136">
        <v>69</v>
      </c>
    </row>
    <row r="137" spans="1:10" x14ac:dyDescent="0.35">
      <c r="A137" s="1">
        <v>45756</v>
      </c>
      <c r="B137">
        <v>12115</v>
      </c>
      <c r="C137">
        <v>575</v>
      </c>
      <c r="D137">
        <v>11540</v>
      </c>
      <c r="E137" s="6">
        <v>0.95253817581510503</v>
      </c>
      <c r="F137" t="s">
        <v>18</v>
      </c>
      <c r="G137" t="s">
        <v>21</v>
      </c>
      <c r="H137" t="s">
        <v>22</v>
      </c>
      <c r="I137">
        <v>15</v>
      </c>
      <c r="J137">
        <v>70</v>
      </c>
    </row>
    <row r="138" spans="1:10" x14ac:dyDescent="0.35">
      <c r="A138" s="1">
        <v>45757</v>
      </c>
      <c r="B138">
        <v>9675</v>
      </c>
      <c r="C138">
        <v>370</v>
      </c>
      <c r="D138">
        <v>9305</v>
      </c>
      <c r="E138" s="6">
        <v>0.961757105943152</v>
      </c>
      <c r="F138" t="s">
        <v>12</v>
      </c>
      <c r="G138" t="s">
        <v>21</v>
      </c>
      <c r="H138" t="s">
        <v>22</v>
      </c>
      <c r="I138">
        <v>15</v>
      </c>
      <c r="J138">
        <v>71</v>
      </c>
    </row>
    <row r="139" spans="1:10" x14ac:dyDescent="0.35">
      <c r="A139" s="1">
        <v>45758</v>
      </c>
      <c r="B139">
        <v>12085</v>
      </c>
      <c r="C139">
        <v>1526.5</v>
      </c>
      <c r="D139">
        <v>10558.5</v>
      </c>
      <c r="E139" s="6">
        <v>0.87368638808440202</v>
      </c>
      <c r="F139" t="s">
        <v>15</v>
      </c>
      <c r="G139" t="s">
        <v>21</v>
      </c>
      <c r="H139" t="s">
        <v>22</v>
      </c>
      <c r="I139">
        <v>15</v>
      </c>
      <c r="J139">
        <v>72</v>
      </c>
    </row>
    <row r="140" spans="1:10" x14ac:dyDescent="0.35">
      <c r="A140" s="1">
        <v>45761</v>
      </c>
      <c r="B140">
        <v>16882.5</v>
      </c>
      <c r="C140">
        <v>966</v>
      </c>
      <c r="D140">
        <v>15916.5</v>
      </c>
      <c r="E140" s="6">
        <v>0.94278098622834305</v>
      </c>
      <c r="F140" t="s">
        <v>16</v>
      </c>
      <c r="G140" t="s">
        <v>21</v>
      </c>
      <c r="H140" t="s">
        <v>22</v>
      </c>
      <c r="I140">
        <v>16</v>
      </c>
      <c r="J140">
        <v>73</v>
      </c>
    </row>
    <row r="141" spans="1:10" x14ac:dyDescent="0.35">
      <c r="A141" s="1">
        <v>45762</v>
      </c>
      <c r="B141">
        <v>13135</v>
      </c>
      <c r="C141">
        <v>635</v>
      </c>
      <c r="D141">
        <v>12500</v>
      </c>
      <c r="E141" s="6">
        <v>0.95165588123334599</v>
      </c>
      <c r="F141" t="s">
        <v>17</v>
      </c>
      <c r="G141" t="s">
        <v>21</v>
      </c>
      <c r="H141" t="s">
        <v>22</v>
      </c>
      <c r="I141">
        <v>16</v>
      </c>
      <c r="J141">
        <v>74</v>
      </c>
    </row>
    <row r="142" spans="1:10" x14ac:dyDescent="0.35">
      <c r="A142" s="1">
        <v>45763</v>
      </c>
      <c r="B142">
        <v>10515</v>
      </c>
      <c r="C142">
        <v>2568.5</v>
      </c>
      <c r="D142">
        <v>7946.5</v>
      </c>
      <c r="E142" s="6">
        <v>0.75572990965287701</v>
      </c>
      <c r="F142" t="s">
        <v>18</v>
      </c>
      <c r="G142" t="s">
        <v>21</v>
      </c>
      <c r="H142" t="s">
        <v>22</v>
      </c>
      <c r="I142">
        <v>16</v>
      </c>
      <c r="J142">
        <v>75</v>
      </c>
    </row>
    <row r="143" spans="1:10" x14ac:dyDescent="0.35">
      <c r="A143" s="1">
        <v>45764</v>
      </c>
      <c r="B143">
        <v>12040</v>
      </c>
      <c r="C143">
        <v>678</v>
      </c>
      <c r="D143">
        <v>11362</v>
      </c>
      <c r="E143" s="6">
        <v>0.94368770764119603</v>
      </c>
      <c r="F143" t="s">
        <v>12</v>
      </c>
      <c r="G143" t="s">
        <v>21</v>
      </c>
      <c r="H143" t="s">
        <v>22</v>
      </c>
      <c r="I143">
        <v>16</v>
      </c>
      <c r="J143">
        <v>76</v>
      </c>
    </row>
    <row r="144" spans="1:10" x14ac:dyDescent="0.35">
      <c r="A144" s="1">
        <v>45765</v>
      </c>
      <c r="B144">
        <v>13990</v>
      </c>
      <c r="C144">
        <v>404.5</v>
      </c>
      <c r="D144">
        <v>13585.5</v>
      </c>
      <c r="E144" s="6">
        <v>0.97108649035024996</v>
      </c>
      <c r="F144" t="s">
        <v>15</v>
      </c>
      <c r="G144" t="s">
        <v>21</v>
      </c>
      <c r="H144" t="s">
        <v>22</v>
      </c>
      <c r="I144">
        <v>16</v>
      </c>
      <c r="J144">
        <v>77</v>
      </c>
    </row>
    <row r="145" spans="1:10" x14ac:dyDescent="0.35">
      <c r="A145" s="1">
        <v>45768</v>
      </c>
      <c r="B145">
        <v>17679.5</v>
      </c>
      <c r="C145">
        <v>1129</v>
      </c>
      <c r="D145">
        <v>16550.5</v>
      </c>
      <c r="E145" s="6">
        <v>0.93614072796176395</v>
      </c>
      <c r="F145" t="s">
        <v>16</v>
      </c>
      <c r="G145" t="s">
        <v>21</v>
      </c>
      <c r="H145" t="s">
        <v>22</v>
      </c>
      <c r="I145">
        <v>17</v>
      </c>
      <c r="J145">
        <v>78</v>
      </c>
    </row>
    <row r="146" spans="1:10" x14ac:dyDescent="0.35">
      <c r="A146" s="1">
        <v>45769</v>
      </c>
      <c r="B146">
        <v>13460</v>
      </c>
      <c r="C146">
        <v>746</v>
      </c>
      <c r="D146">
        <v>12714</v>
      </c>
      <c r="E146" s="6">
        <v>0.94457652303120399</v>
      </c>
      <c r="F146" t="s">
        <v>17</v>
      </c>
      <c r="G146" t="s">
        <v>21</v>
      </c>
      <c r="H146" t="s">
        <v>22</v>
      </c>
      <c r="I146">
        <v>17</v>
      </c>
      <c r="J146">
        <v>79</v>
      </c>
    </row>
    <row r="147" spans="1:10" x14ac:dyDescent="0.35">
      <c r="A147" s="1">
        <v>45770</v>
      </c>
      <c r="B147">
        <v>19725</v>
      </c>
      <c r="C147">
        <v>1009</v>
      </c>
      <c r="D147">
        <v>18716</v>
      </c>
      <c r="E147" s="6">
        <v>0.94884664131812402</v>
      </c>
      <c r="F147" t="s">
        <v>18</v>
      </c>
      <c r="G147" t="s">
        <v>21</v>
      </c>
      <c r="H147" t="s">
        <v>22</v>
      </c>
      <c r="I147">
        <v>17</v>
      </c>
      <c r="J147">
        <v>80</v>
      </c>
    </row>
    <row r="148" spans="1:10" x14ac:dyDescent="0.35">
      <c r="A148" s="1">
        <v>45771</v>
      </c>
      <c r="B148">
        <v>8935</v>
      </c>
      <c r="C148">
        <v>1907</v>
      </c>
      <c r="D148">
        <v>7028</v>
      </c>
      <c r="E148" s="6">
        <v>0.78656966983771703</v>
      </c>
      <c r="F148" t="s">
        <v>12</v>
      </c>
      <c r="G148" t="s">
        <v>21</v>
      </c>
      <c r="H148" t="s">
        <v>22</v>
      </c>
      <c r="I148">
        <v>17</v>
      </c>
      <c r="J148">
        <v>81</v>
      </c>
    </row>
    <row r="149" spans="1:10" x14ac:dyDescent="0.35">
      <c r="A149" s="1">
        <v>45772</v>
      </c>
      <c r="B149">
        <v>23919</v>
      </c>
      <c r="C149">
        <v>2192</v>
      </c>
      <c r="D149">
        <v>21727</v>
      </c>
      <c r="E149" s="6">
        <v>0.90835737279986595</v>
      </c>
      <c r="F149" t="s">
        <v>15</v>
      </c>
      <c r="G149" t="s">
        <v>21</v>
      </c>
      <c r="H149" t="s">
        <v>22</v>
      </c>
      <c r="I149">
        <v>17</v>
      </c>
      <c r="J149">
        <v>82</v>
      </c>
    </row>
    <row r="150" spans="1:10" x14ac:dyDescent="0.35">
      <c r="A150" s="1">
        <v>45775</v>
      </c>
      <c r="B150">
        <v>14270</v>
      </c>
      <c r="C150">
        <v>627</v>
      </c>
      <c r="D150">
        <v>13643</v>
      </c>
      <c r="E150" s="6">
        <v>0.95606166783461799</v>
      </c>
      <c r="F150" t="s">
        <v>16</v>
      </c>
      <c r="G150" t="s">
        <v>21</v>
      </c>
      <c r="H150" t="s">
        <v>22</v>
      </c>
      <c r="I150">
        <v>18</v>
      </c>
      <c r="J150">
        <v>83</v>
      </c>
    </row>
    <row r="151" spans="1:10" x14ac:dyDescent="0.35">
      <c r="A151" s="1">
        <v>45776</v>
      </c>
      <c r="B151">
        <v>14425</v>
      </c>
      <c r="C151">
        <v>1529</v>
      </c>
      <c r="D151">
        <v>12896</v>
      </c>
      <c r="E151" s="6">
        <v>0.89400346620450599</v>
      </c>
      <c r="F151" t="s">
        <v>17</v>
      </c>
      <c r="G151" t="s">
        <v>21</v>
      </c>
      <c r="H151" t="s">
        <v>22</v>
      </c>
      <c r="I151">
        <v>18</v>
      </c>
      <c r="J151">
        <v>84</v>
      </c>
    </row>
    <row r="152" spans="1:10" x14ac:dyDescent="0.35">
      <c r="A152" s="1">
        <v>45777</v>
      </c>
      <c r="B152">
        <v>15540</v>
      </c>
      <c r="C152">
        <v>705</v>
      </c>
      <c r="D152">
        <v>14835</v>
      </c>
      <c r="E152" s="6">
        <v>0.954633204633205</v>
      </c>
      <c r="F152" t="s">
        <v>18</v>
      </c>
      <c r="G152" t="s">
        <v>21</v>
      </c>
      <c r="H152" t="s">
        <v>22</v>
      </c>
      <c r="I152">
        <v>18</v>
      </c>
      <c r="J152">
        <v>85</v>
      </c>
    </row>
    <row r="153" spans="1:10" x14ac:dyDescent="0.35">
      <c r="A153" s="1">
        <v>45778</v>
      </c>
      <c r="B153">
        <v>23440</v>
      </c>
      <c r="C153">
        <v>3096.5</v>
      </c>
      <c r="D153">
        <v>20343.5</v>
      </c>
      <c r="E153" s="6">
        <v>0.86789675767918095</v>
      </c>
      <c r="F153" t="s">
        <v>12</v>
      </c>
      <c r="G153" t="s">
        <v>23</v>
      </c>
      <c r="H153" t="s">
        <v>22</v>
      </c>
      <c r="I153">
        <v>18</v>
      </c>
      <c r="J153">
        <v>86</v>
      </c>
    </row>
    <row r="154" spans="1:10" x14ac:dyDescent="0.35">
      <c r="A154" s="1">
        <v>45779</v>
      </c>
      <c r="B154">
        <v>23440</v>
      </c>
      <c r="C154">
        <v>3096.5</v>
      </c>
      <c r="D154">
        <v>20343.5</v>
      </c>
      <c r="E154" s="6">
        <v>0.86789675767918095</v>
      </c>
      <c r="F154" t="s">
        <v>15</v>
      </c>
      <c r="G154" t="s">
        <v>23</v>
      </c>
      <c r="H154" t="s">
        <v>22</v>
      </c>
      <c r="I154">
        <v>18</v>
      </c>
      <c r="J154">
        <v>87</v>
      </c>
    </row>
    <row r="155" spans="1:10" x14ac:dyDescent="0.35">
      <c r="A155" s="1">
        <v>45782</v>
      </c>
      <c r="B155">
        <v>22830</v>
      </c>
      <c r="C155">
        <v>522</v>
      </c>
      <c r="D155">
        <v>22308</v>
      </c>
      <c r="E155" s="6">
        <v>0.977135348226018</v>
      </c>
      <c r="F155" t="s">
        <v>16</v>
      </c>
      <c r="G155" t="s">
        <v>23</v>
      </c>
      <c r="H155" t="s">
        <v>22</v>
      </c>
      <c r="I155">
        <v>19</v>
      </c>
      <c r="J155">
        <v>88</v>
      </c>
    </row>
    <row r="156" spans="1:10" x14ac:dyDescent="0.35">
      <c r="A156" s="1">
        <v>45783</v>
      </c>
      <c r="B156">
        <v>11450</v>
      </c>
      <c r="C156">
        <v>1554.5</v>
      </c>
      <c r="D156">
        <v>9895.5</v>
      </c>
      <c r="E156" s="6">
        <v>0.864235807860262</v>
      </c>
      <c r="F156" t="s">
        <v>17</v>
      </c>
      <c r="G156" t="s">
        <v>23</v>
      </c>
      <c r="H156" t="s">
        <v>22</v>
      </c>
      <c r="I156">
        <v>19</v>
      </c>
      <c r="J156">
        <v>89</v>
      </c>
    </row>
    <row r="157" spans="1:10" x14ac:dyDescent="0.35">
      <c r="A157" s="1">
        <v>45784</v>
      </c>
      <c r="B157">
        <v>13150</v>
      </c>
      <c r="C157">
        <v>2370</v>
      </c>
      <c r="D157">
        <v>10780</v>
      </c>
      <c r="E157" s="6">
        <v>0.81977186311787098</v>
      </c>
      <c r="F157" t="s">
        <v>18</v>
      </c>
      <c r="G157" t="s">
        <v>23</v>
      </c>
      <c r="H157" t="s">
        <v>22</v>
      </c>
      <c r="I157">
        <v>19</v>
      </c>
      <c r="J157">
        <v>90</v>
      </c>
    </row>
    <row r="158" spans="1:10" x14ac:dyDescent="0.35">
      <c r="A158" s="1">
        <v>45785</v>
      </c>
      <c r="B158">
        <v>13390</v>
      </c>
      <c r="C158">
        <v>591</v>
      </c>
      <c r="D158">
        <v>12799</v>
      </c>
      <c r="E158" s="6">
        <v>0.95586258401792401</v>
      </c>
      <c r="F158" t="s">
        <v>12</v>
      </c>
      <c r="G158" t="s">
        <v>23</v>
      </c>
      <c r="H158" t="s">
        <v>22</v>
      </c>
      <c r="I158">
        <v>19</v>
      </c>
      <c r="J158">
        <v>91</v>
      </c>
    </row>
    <row r="159" spans="1:10" x14ac:dyDescent="0.35">
      <c r="A159" s="1">
        <v>45786</v>
      </c>
      <c r="B159">
        <v>13190</v>
      </c>
      <c r="C159">
        <v>1602</v>
      </c>
      <c r="D159">
        <v>11588</v>
      </c>
      <c r="E159" s="6">
        <v>0.87854435178165302</v>
      </c>
      <c r="F159" t="s">
        <v>15</v>
      </c>
      <c r="G159" t="s">
        <v>23</v>
      </c>
      <c r="H159" t="s">
        <v>22</v>
      </c>
      <c r="I159">
        <v>19</v>
      </c>
      <c r="J159">
        <v>92</v>
      </c>
    </row>
    <row r="160" spans="1:10" x14ac:dyDescent="0.35">
      <c r="A160" s="1">
        <v>45789</v>
      </c>
      <c r="B160">
        <v>17132</v>
      </c>
      <c r="C160">
        <v>592</v>
      </c>
      <c r="D160">
        <v>16540</v>
      </c>
      <c r="E160" s="6">
        <v>0.96544478169507397</v>
      </c>
      <c r="F160" t="s">
        <v>16</v>
      </c>
      <c r="G160" t="s">
        <v>23</v>
      </c>
      <c r="H160" t="s">
        <v>22</v>
      </c>
      <c r="I160">
        <v>20</v>
      </c>
      <c r="J160">
        <v>93</v>
      </c>
    </row>
    <row r="161" spans="1:10" x14ac:dyDescent="0.35">
      <c r="A161" s="1">
        <v>45790</v>
      </c>
      <c r="B161">
        <v>13695</v>
      </c>
      <c r="C161">
        <v>596.33000000000004</v>
      </c>
      <c r="D161">
        <v>13098.67</v>
      </c>
      <c r="E161" s="6">
        <v>0.95645637093829905</v>
      </c>
      <c r="F161" t="s">
        <v>17</v>
      </c>
      <c r="G161" t="s">
        <v>23</v>
      </c>
      <c r="H161" t="s">
        <v>22</v>
      </c>
      <c r="I161">
        <v>20</v>
      </c>
      <c r="J161">
        <v>94</v>
      </c>
    </row>
    <row r="162" spans="1:10" x14ac:dyDescent="0.35">
      <c r="A162" s="1">
        <v>45791</v>
      </c>
      <c r="B162">
        <v>12470</v>
      </c>
      <c r="C162">
        <v>595.5</v>
      </c>
      <c r="D162">
        <v>11874.5</v>
      </c>
      <c r="E162" s="6">
        <v>0.95224538893344002</v>
      </c>
      <c r="F162" t="s">
        <v>18</v>
      </c>
      <c r="G162" t="s">
        <v>23</v>
      </c>
      <c r="H162" t="s">
        <v>22</v>
      </c>
      <c r="I162">
        <v>20</v>
      </c>
      <c r="J162">
        <v>95</v>
      </c>
    </row>
    <row r="163" spans="1:10" x14ac:dyDescent="0.35">
      <c r="A163" s="1">
        <v>45792</v>
      </c>
      <c r="B163">
        <v>9155</v>
      </c>
      <c r="C163">
        <v>2526</v>
      </c>
      <c r="D163">
        <v>6629</v>
      </c>
      <c r="E163" s="6">
        <v>0.72408519934462001</v>
      </c>
      <c r="F163" t="s">
        <v>12</v>
      </c>
      <c r="G163" t="s">
        <v>23</v>
      </c>
      <c r="H163" t="s">
        <v>22</v>
      </c>
      <c r="I163">
        <v>20</v>
      </c>
      <c r="J163">
        <v>96</v>
      </c>
    </row>
    <row r="164" spans="1:10" x14ac:dyDescent="0.35">
      <c r="A164" s="1">
        <v>45793</v>
      </c>
      <c r="B164">
        <v>15380</v>
      </c>
      <c r="C164">
        <v>1588</v>
      </c>
      <c r="D164">
        <v>13792</v>
      </c>
      <c r="E164" s="6">
        <v>0.89674902470741202</v>
      </c>
      <c r="F164" t="s">
        <v>15</v>
      </c>
      <c r="G164" t="s">
        <v>23</v>
      </c>
      <c r="H164" t="s">
        <v>22</v>
      </c>
      <c r="I164">
        <v>20</v>
      </c>
      <c r="J164">
        <v>97</v>
      </c>
    </row>
    <row r="165" spans="1:10" x14ac:dyDescent="0.35">
      <c r="A165" s="1">
        <v>45796</v>
      </c>
      <c r="B165">
        <v>13695</v>
      </c>
      <c r="C165">
        <v>831</v>
      </c>
      <c r="D165">
        <v>12864</v>
      </c>
      <c r="E165" s="6">
        <v>0.93932092004381196</v>
      </c>
      <c r="F165" t="s">
        <v>16</v>
      </c>
      <c r="G165" t="s">
        <v>23</v>
      </c>
      <c r="H165" t="s">
        <v>22</v>
      </c>
      <c r="I165">
        <v>21</v>
      </c>
      <c r="J165">
        <v>98</v>
      </c>
    </row>
    <row r="166" spans="1:10" x14ac:dyDescent="0.35">
      <c r="A166" s="1">
        <v>45797</v>
      </c>
      <c r="B166">
        <v>12803</v>
      </c>
      <c r="C166">
        <v>1086</v>
      </c>
      <c r="D166">
        <v>11717</v>
      </c>
      <c r="E166" s="6">
        <v>0.91517613059439196</v>
      </c>
      <c r="F166" t="s">
        <v>17</v>
      </c>
      <c r="G166" t="s">
        <v>23</v>
      </c>
      <c r="H166" t="s">
        <v>22</v>
      </c>
      <c r="I166">
        <v>21</v>
      </c>
      <c r="J166">
        <v>99</v>
      </c>
    </row>
    <row r="167" spans="1:10" x14ac:dyDescent="0.35">
      <c r="A167" s="1">
        <v>45798</v>
      </c>
      <c r="B167">
        <v>21327</v>
      </c>
      <c r="C167">
        <v>476</v>
      </c>
      <c r="D167">
        <v>20851</v>
      </c>
      <c r="E167" s="6">
        <v>0.97768087400947201</v>
      </c>
      <c r="F167" t="s">
        <v>18</v>
      </c>
      <c r="G167" t="s">
        <v>23</v>
      </c>
      <c r="H167" t="s">
        <v>22</v>
      </c>
      <c r="I167">
        <v>21</v>
      </c>
      <c r="J167">
        <v>100</v>
      </c>
    </row>
    <row r="168" spans="1:10" x14ac:dyDescent="0.35">
      <c r="A168" s="1">
        <v>45799</v>
      </c>
      <c r="B168">
        <v>15660</v>
      </c>
      <c r="C168">
        <v>1710</v>
      </c>
      <c r="D168">
        <v>13950</v>
      </c>
      <c r="E168" s="6">
        <v>0.89080459770114895</v>
      </c>
      <c r="F168" t="s">
        <v>12</v>
      </c>
      <c r="G168" t="s">
        <v>23</v>
      </c>
      <c r="H168" t="s">
        <v>22</v>
      </c>
      <c r="I168">
        <v>21</v>
      </c>
      <c r="J168">
        <v>101</v>
      </c>
    </row>
    <row r="169" spans="1:10" x14ac:dyDescent="0.35">
      <c r="A169" s="1">
        <v>45800</v>
      </c>
      <c r="B169">
        <v>15015</v>
      </c>
      <c r="C169">
        <v>791</v>
      </c>
      <c r="D169">
        <v>14224</v>
      </c>
      <c r="E169" s="6">
        <v>0.94731934731934697</v>
      </c>
      <c r="F169" t="s">
        <v>15</v>
      </c>
      <c r="G169" t="s">
        <v>23</v>
      </c>
      <c r="H169" t="s">
        <v>22</v>
      </c>
      <c r="I169">
        <v>21</v>
      </c>
      <c r="J169">
        <v>102</v>
      </c>
    </row>
    <row r="170" spans="1:10" x14ac:dyDescent="0.35">
      <c r="A170" s="1">
        <v>45803</v>
      </c>
      <c r="B170">
        <v>13644</v>
      </c>
      <c r="C170">
        <v>517</v>
      </c>
      <c r="D170">
        <v>13127</v>
      </c>
      <c r="E170" s="6">
        <v>0.96210788625036603</v>
      </c>
      <c r="F170" t="s">
        <v>16</v>
      </c>
      <c r="G170" t="s">
        <v>23</v>
      </c>
      <c r="H170" t="s">
        <v>22</v>
      </c>
      <c r="I170">
        <v>22</v>
      </c>
      <c r="J170">
        <v>103</v>
      </c>
    </row>
    <row r="171" spans="1:10" x14ac:dyDescent="0.35">
      <c r="A171" s="1">
        <v>45804</v>
      </c>
      <c r="B171">
        <v>15725</v>
      </c>
      <c r="C171">
        <v>3125</v>
      </c>
      <c r="D171">
        <v>12600</v>
      </c>
      <c r="E171" s="6">
        <v>0.80127186009538998</v>
      </c>
      <c r="F171" t="s">
        <v>17</v>
      </c>
      <c r="G171" t="s">
        <v>23</v>
      </c>
      <c r="H171" t="s">
        <v>22</v>
      </c>
      <c r="I171">
        <v>22</v>
      </c>
      <c r="J171">
        <v>104</v>
      </c>
    </row>
    <row r="172" spans="1:10" x14ac:dyDescent="0.35">
      <c r="A172" s="1">
        <v>45805</v>
      </c>
      <c r="B172">
        <v>13520</v>
      </c>
      <c r="C172">
        <v>603</v>
      </c>
      <c r="D172">
        <v>12917</v>
      </c>
      <c r="E172" s="6">
        <v>0.95539940828402403</v>
      </c>
      <c r="F172" t="s">
        <v>18</v>
      </c>
      <c r="G172" t="s">
        <v>23</v>
      </c>
      <c r="H172" t="s">
        <v>22</v>
      </c>
      <c r="I172">
        <v>22</v>
      </c>
      <c r="J172">
        <v>105</v>
      </c>
    </row>
    <row r="173" spans="1:10" x14ac:dyDescent="0.35">
      <c r="A173" s="1">
        <v>45806</v>
      </c>
      <c r="B173">
        <v>11287</v>
      </c>
      <c r="C173">
        <v>1159</v>
      </c>
      <c r="D173">
        <v>10128</v>
      </c>
      <c r="E173" s="6">
        <v>0.89731549570302105</v>
      </c>
      <c r="F173" t="s">
        <v>12</v>
      </c>
      <c r="G173" t="s">
        <v>23</v>
      </c>
      <c r="H173" t="s">
        <v>22</v>
      </c>
      <c r="I173">
        <v>22</v>
      </c>
      <c r="J173">
        <v>106</v>
      </c>
    </row>
    <row r="174" spans="1:10" x14ac:dyDescent="0.35">
      <c r="A174" s="1">
        <v>45807</v>
      </c>
      <c r="B174">
        <v>20420</v>
      </c>
      <c r="C174">
        <v>601</v>
      </c>
      <c r="D174">
        <v>19819</v>
      </c>
      <c r="E174" s="6">
        <v>0.97056807051909899</v>
      </c>
      <c r="F174" t="s">
        <v>15</v>
      </c>
      <c r="G174" t="s">
        <v>23</v>
      </c>
      <c r="H174" t="s">
        <v>22</v>
      </c>
      <c r="I174">
        <v>22</v>
      </c>
      <c r="J174">
        <v>107</v>
      </c>
    </row>
    <row r="175" spans="1:10" x14ac:dyDescent="0.35">
      <c r="A175" s="1">
        <v>45810</v>
      </c>
      <c r="B175">
        <v>17220</v>
      </c>
      <c r="C175">
        <v>658</v>
      </c>
      <c r="D175">
        <v>16562</v>
      </c>
      <c r="E175" s="6">
        <v>0.96178861788617898</v>
      </c>
      <c r="F175" t="s">
        <v>16</v>
      </c>
      <c r="G175" t="s">
        <v>24</v>
      </c>
      <c r="H175" t="s">
        <v>22</v>
      </c>
      <c r="I175">
        <v>23</v>
      </c>
      <c r="J175">
        <v>108</v>
      </c>
    </row>
    <row r="176" spans="1:10" x14ac:dyDescent="0.35">
      <c r="A176" s="1">
        <v>45811</v>
      </c>
      <c r="B176">
        <v>12925</v>
      </c>
      <c r="C176">
        <v>645</v>
      </c>
      <c r="D176">
        <v>12280</v>
      </c>
      <c r="E176" s="6">
        <v>0.95009671179884003</v>
      </c>
      <c r="F176" t="s">
        <v>17</v>
      </c>
      <c r="G176" t="s">
        <v>24</v>
      </c>
      <c r="H176" t="s">
        <v>22</v>
      </c>
      <c r="I176">
        <v>23</v>
      </c>
      <c r="J176">
        <v>109</v>
      </c>
    </row>
    <row r="177" spans="1:10" x14ac:dyDescent="0.35">
      <c r="A177" s="1">
        <v>45812</v>
      </c>
      <c r="B177">
        <v>11615</v>
      </c>
      <c r="C177">
        <v>729</v>
      </c>
      <c r="D177">
        <v>10886</v>
      </c>
      <c r="E177" s="6">
        <v>0.93723633232888504</v>
      </c>
      <c r="F177" t="s">
        <v>18</v>
      </c>
      <c r="G177" t="s">
        <v>24</v>
      </c>
      <c r="H177" t="s">
        <v>22</v>
      </c>
      <c r="I177">
        <v>23</v>
      </c>
      <c r="J177">
        <v>110</v>
      </c>
    </row>
    <row r="178" spans="1:10" x14ac:dyDescent="0.35">
      <c r="A178" s="1">
        <v>45813</v>
      </c>
      <c r="B178">
        <v>12572</v>
      </c>
      <c r="C178">
        <v>840</v>
      </c>
      <c r="D178">
        <v>11732</v>
      </c>
      <c r="E178" s="6">
        <v>0.93318485523385297</v>
      </c>
      <c r="F178" t="s">
        <v>12</v>
      </c>
      <c r="G178" t="s">
        <v>24</v>
      </c>
      <c r="H178" t="s">
        <v>22</v>
      </c>
      <c r="I178">
        <v>23</v>
      </c>
      <c r="J178">
        <v>111</v>
      </c>
    </row>
    <row r="179" spans="1:10" x14ac:dyDescent="0.35">
      <c r="A179" s="1">
        <v>45814</v>
      </c>
      <c r="B179">
        <v>22905</v>
      </c>
      <c r="C179">
        <v>781</v>
      </c>
      <c r="D179">
        <v>22124</v>
      </c>
      <c r="E179" s="6">
        <v>0.96590264134468495</v>
      </c>
      <c r="F179" t="s">
        <v>15</v>
      </c>
      <c r="G179" t="s">
        <v>24</v>
      </c>
      <c r="H179" t="s">
        <v>22</v>
      </c>
      <c r="I179">
        <v>23</v>
      </c>
      <c r="J179">
        <v>112</v>
      </c>
    </row>
    <row r="180" spans="1:10" x14ac:dyDescent="0.35">
      <c r="A180" s="1">
        <v>45817</v>
      </c>
      <c r="B180">
        <v>13045</v>
      </c>
      <c r="C180">
        <v>1008</v>
      </c>
      <c r="D180">
        <v>12037</v>
      </c>
      <c r="E180" s="6">
        <v>0.92272901494825599</v>
      </c>
      <c r="F180" t="s">
        <v>16</v>
      </c>
      <c r="G180" t="s">
        <v>24</v>
      </c>
      <c r="H180" t="s">
        <v>22</v>
      </c>
      <c r="I180">
        <v>24</v>
      </c>
      <c r="J180">
        <v>113</v>
      </c>
    </row>
    <row r="181" spans="1:10" x14ac:dyDescent="0.35">
      <c r="A181" s="1">
        <v>45818</v>
      </c>
      <c r="B181">
        <v>25705</v>
      </c>
      <c r="C181">
        <v>1064</v>
      </c>
      <c r="D181">
        <v>24641</v>
      </c>
      <c r="E181" s="6">
        <v>0.95860727484925101</v>
      </c>
      <c r="F181" t="s">
        <v>17</v>
      </c>
      <c r="G181" t="s">
        <v>24</v>
      </c>
      <c r="H181" t="s">
        <v>22</v>
      </c>
      <c r="I181">
        <v>24</v>
      </c>
      <c r="J181">
        <v>114</v>
      </c>
    </row>
    <row r="182" spans="1:10" x14ac:dyDescent="0.35">
      <c r="A182" s="1">
        <v>45819</v>
      </c>
      <c r="B182">
        <v>10895</v>
      </c>
      <c r="C182">
        <v>1225</v>
      </c>
      <c r="D182">
        <v>9670</v>
      </c>
      <c r="E182" s="6">
        <v>0.88756310234052305</v>
      </c>
      <c r="F182" t="s">
        <v>18</v>
      </c>
      <c r="G182" t="s">
        <v>24</v>
      </c>
      <c r="H182" t="s">
        <v>22</v>
      </c>
      <c r="I182">
        <v>24</v>
      </c>
      <c r="J182">
        <v>115</v>
      </c>
    </row>
    <row r="183" spans="1:10" x14ac:dyDescent="0.35">
      <c r="A183" s="1">
        <v>45820</v>
      </c>
      <c r="B183">
        <v>14675</v>
      </c>
      <c r="C183">
        <v>1672.1</v>
      </c>
      <c r="D183">
        <v>13002.9</v>
      </c>
      <c r="E183" s="6">
        <v>0.88605792163543395</v>
      </c>
      <c r="F183" t="s">
        <v>12</v>
      </c>
      <c r="G183" t="s">
        <v>24</v>
      </c>
      <c r="H183" t="s">
        <v>22</v>
      </c>
      <c r="I183">
        <v>24</v>
      </c>
      <c r="J183">
        <v>116</v>
      </c>
    </row>
    <row r="184" spans="1:10" x14ac:dyDescent="0.35">
      <c r="A184" s="1">
        <v>45821</v>
      </c>
      <c r="B184">
        <v>16926</v>
      </c>
      <c r="C184">
        <v>1192.5</v>
      </c>
      <c r="D184">
        <v>15733.5</v>
      </c>
      <c r="E184" s="6">
        <v>0.92954626019142195</v>
      </c>
      <c r="F184" t="s">
        <v>15</v>
      </c>
      <c r="G184" t="s">
        <v>24</v>
      </c>
      <c r="H184" t="s">
        <v>22</v>
      </c>
      <c r="I184">
        <v>24</v>
      </c>
      <c r="J184">
        <v>117</v>
      </c>
    </row>
    <row r="185" spans="1:10" x14ac:dyDescent="0.35">
      <c r="A185" s="1">
        <v>45824</v>
      </c>
      <c r="B185">
        <v>13231.5</v>
      </c>
      <c r="C185">
        <v>408.5</v>
      </c>
      <c r="D185">
        <v>12823</v>
      </c>
      <c r="E185" s="6">
        <v>0.96912670521104904</v>
      </c>
      <c r="F185" t="s">
        <v>16</v>
      </c>
      <c r="G185" t="s">
        <v>24</v>
      </c>
      <c r="H185" t="s">
        <v>22</v>
      </c>
      <c r="I185">
        <v>25</v>
      </c>
      <c r="J185">
        <v>118</v>
      </c>
    </row>
    <row r="186" spans="1:10" x14ac:dyDescent="0.35">
      <c r="A186" s="1">
        <v>45825</v>
      </c>
      <c r="B186">
        <v>16105</v>
      </c>
      <c r="C186">
        <v>325</v>
      </c>
      <c r="D186">
        <v>15780</v>
      </c>
      <c r="E186" s="6">
        <v>0.97981993169823001</v>
      </c>
      <c r="F186" t="s">
        <v>17</v>
      </c>
      <c r="G186" t="s">
        <v>24</v>
      </c>
      <c r="H186" t="s">
        <v>22</v>
      </c>
      <c r="I186">
        <v>25</v>
      </c>
      <c r="J186">
        <v>119</v>
      </c>
    </row>
    <row r="187" spans="1:10" x14ac:dyDescent="0.35">
      <c r="A187" s="1">
        <v>45826</v>
      </c>
      <c r="B187">
        <v>15982</v>
      </c>
      <c r="C187">
        <v>888.5</v>
      </c>
      <c r="D187">
        <v>15093.5</v>
      </c>
      <c r="E187" s="6">
        <v>0.94440620698285604</v>
      </c>
      <c r="F187" t="s">
        <v>18</v>
      </c>
      <c r="G187" t="s">
        <v>24</v>
      </c>
      <c r="H187" t="s">
        <v>22</v>
      </c>
      <c r="I187">
        <v>25</v>
      </c>
      <c r="J187">
        <v>120</v>
      </c>
    </row>
    <row r="188" spans="1:10" x14ac:dyDescent="0.35">
      <c r="A188" s="1">
        <v>45827</v>
      </c>
      <c r="B188">
        <v>10590</v>
      </c>
      <c r="C188">
        <v>680</v>
      </c>
      <c r="D188">
        <v>9910</v>
      </c>
      <c r="E188" s="6">
        <v>0.93578847969782797</v>
      </c>
      <c r="F188" t="s">
        <v>12</v>
      </c>
      <c r="G188" t="s">
        <v>24</v>
      </c>
      <c r="H188" t="s">
        <v>22</v>
      </c>
      <c r="I188">
        <v>25</v>
      </c>
      <c r="J188">
        <v>121</v>
      </c>
    </row>
    <row r="189" spans="1:10" x14ac:dyDescent="0.35">
      <c r="A189" s="1">
        <v>45828</v>
      </c>
      <c r="B189">
        <v>14405</v>
      </c>
      <c r="C189">
        <v>811</v>
      </c>
      <c r="D189">
        <v>13594</v>
      </c>
      <c r="E189" s="6">
        <v>0.94370010413050998</v>
      </c>
      <c r="F189" t="s">
        <v>15</v>
      </c>
      <c r="G189" t="s">
        <v>24</v>
      </c>
      <c r="H189" t="s">
        <v>22</v>
      </c>
      <c r="I189">
        <v>25</v>
      </c>
      <c r="J189">
        <v>122</v>
      </c>
    </row>
    <row r="190" spans="1:10" x14ac:dyDescent="0.35">
      <c r="A190" s="1">
        <v>45831</v>
      </c>
      <c r="B190">
        <v>14135</v>
      </c>
      <c r="C190">
        <v>387</v>
      </c>
      <c r="D190">
        <v>13748</v>
      </c>
      <c r="E190" s="6">
        <v>0.97262115316590003</v>
      </c>
      <c r="F190" t="s">
        <v>16</v>
      </c>
      <c r="G190" t="s">
        <v>24</v>
      </c>
      <c r="H190" t="s">
        <v>22</v>
      </c>
      <c r="I190">
        <v>26</v>
      </c>
      <c r="J190">
        <v>123</v>
      </c>
    </row>
    <row r="191" spans="1:10" x14ac:dyDescent="0.35">
      <c r="A191" s="1">
        <v>45832</v>
      </c>
      <c r="B191">
        <v>10395</v>
      </c>
      <c r="C191">
        <v>395</v>
      </c>
      <c r="D191">
        <v>10000</v>
      </c>
      <c r="E191" s="6">
        <v>0.96200096200096197</v>
      </c>
      <c r="F191" t="s">
        <v>17</v>
      </c>
      <c r="G191" t="s">
        <v>24</v>
      </c>
      <c r="H191" t="s">
        <v>22</v>
      </c>
      <c r="I191">
        <v>26</v>
      </c>
      <c r="J191">
        <v>124</v>
      </c>
    </row>
    <row r="192" spans="1:10" x14ac:dyDescent="0.35">
      <c r="A192" s="1">
        <v>45833</v>
      </c>
      <c r="B192">
        <v>10755</v>
      </c>
      <c r="C192">
        <v>484</v>
      </c>
      <c r="D192">
        <v>10271</v>
      </c>
      <c r="E192" s="6">
        <v>0.954997675499768</v>
      </c>
      <c r="F192" t="s">
        <v>18</v>
      </c>
      <c r="G192" t="s">
        <v>24</v>
      </c>
      <c r="H192" t="s">
        <v>22</v>
      </c>
      <c r="I192">
        <v>26</v>
      </c>
      <c r="J192">
        <v>125</v>
      </c>
    </row>
    <row r="193" spans="1:10" x14ac:dyDescent="0.35">
      <c r="A193" s="1">
        <v>45834</v>
      </c>
      <c r="B193">
        <v>16379</v>
      </c>
      <c r="C193">
        <v>971</v>
      </c>
      <c r="D193">
        <v>15408</v>
      </c>
      <c r="E193" s="6">
        <v>0.94071677147567001</v>
      </c>
      <c r="F193" t="s">
        <v>12</v>
      </c>
      <c r="G193" t="s">
        <v>24</v>
      </c>
      <c r="H193" t="s">
        <v>22</v>
      </c>
      <c r="I193">
        <v>26</v>
      </c>
      <c r="J193">
        <v>126</v>
      </c>
    </row>
    <row r="194" spans="1:10" x14ac:dyDescent="0.35">
      <c r="A194" s="1">
        <v>45835</v>
      </c>
      <c r="B194">
        <v>21746</v>
      </c>
      <c r="C194">
        <v>899</v>
      </c>
      <c r="D194">
        <v>20847</v>
      </c>
      <c r="E194" s="6">
        <v>0.95865906373585996</v>
      </c>
      <c r="F194" t="s">
        <v>15</v>
      </c>
      <c r="G194" t="s">
        <v>24</v>
      </c>
      <c r="H194" t="s">
        <v>22</v>
      </c>
      <c r="I194">
        <v>26</v>
      </c>
      <c r="J194">
        <v>127</v>
      </c>
    </row>
    <row r="195" spans="1:10" x14ac:dyDescent="0.35">
      <c r="A195" s="1">
        <v>45838</v>
      </c>
      <c r="B195">
        <v>11681</v>
      </c>
      <c r="C195">
        <v>530</v>
      </c>
      <c r="D195">
        <v>11151</v>
      </c>
      <c r="E195" s="6">
        <v>0.95462717233113603</v>
      </c>
      <c r="F195" t="s">
        <v>16</v>
      </c>
      <c r="G195" t="s">
        <v>24</v>
      </c>
      <c r="H195" t="s">
        <v>22</v>
      </c>
      <c r="I195">
        <v>27</v>
      </c>
      <c r="J195">
        <v>128</v>
      </c>
    </row>
    <row r="196" spans="1:10" x14ac:dyDescent="0.35">
      <c r="A196" s="1">
        <v>45659</v>
      </c>
      <c r="B196">
        <v>13930</v>
      </c>
      <c r="C196">
        <v>497</v>
      </c>
      <c r="D196">
        <v>13433</v>
      </c>
      <c r="E196" s="6">
        <v>0.96432160804020095</v>
      </c>
      <c r="F196" t="s">
        <v>12</v>
      </c>
      <c r="G196" t="s">
        <v>13</v>
      </c>
      <c r="H196" t="s">
        <v>14</v>
      </c>
      <c r="I196">
        <v>1</v>
      </c>
      <c r="J196">
        <v>1</v>
      </c>
    </row>
    <row r="197" spans="1:10" x14ac:dyDescent="0.35">
      <c r="A197" s="1">
        <v>45660</v>
      </c>
      <c r="B197">
        <v>17780</v>
      </c>
      <c r="C197">
        <v>2385</v>
      </c>
      <c r="D197">
        <v>15395</v>
      </c>
      <c r="E197" s="6">
        <v>0.865860517435321</v>
      </c>
      <c r="F197" t="s">
        <v>15</v>
      </c>
      <c r="G197" t="s">
        <v>13</v>
      </c>
      <c r="H197" t="s">
        <v>14</v>
      </c>
      <c r="I197">
        <v>1</v>
      </c>
      <c r="J197">
        <v>2</v>
      </c>
    </row>
    <row r="198" spans="1:10" x14ac:dyDescent="0.35">
      <c r="A198" s="1">
        <v>45663</v>
      </c>
      <c r="B198">
        <v>20115</v>
      </c>
      <c r="C198">
        <v>253</v>
      </c>
      <c r="D198">
        <v>19862</v>
      </c>
      <c r="E198" s="6">
        <v>0.98742232165051003</v>
      </c>
      <c r="F198" t="s">
        <v>16</v>
      </c>
      <c r="G198" t="s">
        <v>13</v>
      </c>
      <c r="H198" t="s">
        <v>14</v>
      </c>
      <c r="I198">
        <v>2</v>
      </c>
      <c r="J198">
        <v>3</v>
      </c>
    </row>
    <row r="199" spans="1:10" x14ac:dyDescent="0.35">
      <c r="A199" s="1">
        <v>45664</v>
      </c>
      <c r="B199">
        <v>13185</v>
      </c>
      <c r="C199">
        <v>544</v>
      </c>
      <c r="D199">
        <v>12641</v>
      </c>
      <c r="E199" s="6">
        <v>0.95874099355328002</v>
      </c>
      <c r="F199" t="s">
        <v>17</v>
      </c>
      <c r="G199" t="s">
        <v>13</v>
      </c>
      <c r="H199" t="s">
        <v>14</v>
      </c>
      <c r="I199">
        <v>2</v>
      </c>
      <c r="J199">
        <v>4</v>
      </c>
    </row>
    <row r="200" spans="1:10" x14ac:dyDescent="0.35">
      <c r="A200" s="1">
        <v>45665</v>
      </c>
      <c r="B200">
        <v>8810</v>
      </c>
      <c r="C200">
        <v>583.5</v>
      </c>
      <c r="D200">
        <v>8226.5</v>
      </c>
      <c r="E200" s="6">
        <v>0.93376844494892197</v>
      </c>
      <c r="F200" t="s">
        <v>18</v>
      </c>
      <c r="G200" t="s">
        <v>13</v>
      </c>
      <c r="H200" t="s">
        <v>14</v>
      </c>
      <c r="I200">
        <v>2</v>
      </c>
      <c r="J200">
        <v>5</v>
      </c>
    </row>
    <row r="201" spans="1:10" x14ac:dyDescent="0.35">
      <c r="A201" s="1">
        <v>45666</v>
      </c>
      <c r="B201">
        <v>13630</v>
      </c>
      <c r="C201">
        <v>812.23</v>
      </c>
      <c r="D201">
        <v>12817.77</v>
      </c>
      <c r="E201" s="6">
        <v>0.94040865737344104</v>
      </c>
      <c r="F201" t="s">
        <v>12</v>
      </c>
      <c r="G201" t="s">
        <v>13</v>
      </c>
      <c r="H201" t="s">
        <v>14</v>
      </c>
      <c r="I201">
        <v>2</v>
      </c>
      <c r="J201">
        <v>6</v>
      </c>
    </row>
    <row r="202" spans="1:10" x14ac:dyDescent="0.35">
      <c r="A202" s="1">
        <v>45667</v>
      </c>
      <c r="B202">
        <v>12540</v>
      </c>
      <c r="C202">
        <v>1143.5</v>
      </c>
      <c r="D202">
        <v>11396.5</v>
      </c>
      <c r="E202" s="6">
        <v>0.90881180223285496</v>
      </c>
      <c r="F202" t="s">
        <v>15</v>
      </c>
      <c r="G202" t="s">
        <v>13</v>
      </c>
      <c r="H202" t="s">
        <v>14</v>
      </c>
      <c r="I202">
        <v>2</v>
      </c>
      <c r="J202">
        <v>7</v>
      </c>
    </row>
    <row r="203" spans="1:10" x14ac:dyDescent="0.35">
      <c r="A203" s="1">
        <v>45670</v>
      </c>
      <c r="B203">
        <v>16115</v>
      </c>
      <c r="C203">
        <v>1127</v>
      </c>
      <c r="D203">
        <v>14988</v>
      </c>
      <c r="E203" s="6">
        <v>0.93006515668631695</v>
      </c>
      <c r="F203" t="s">
        <v>16</v>
      </c>
      <c r="G203" t="s">
        <v>13</v>
      </c>
      <c r="H203" t="s">
        <v>14</v>
      </c>
      <c r="I203">
        <v>3</v>
      </c>
      <c r="J203">
        <v>8</v>
      </c>
    </row>
    <row r="204" spans="1:10" x14ac:dyDescent="0.35">
      <c r="A204" s="1">
        <v>45671</v>
      </c>
      <c r="B204">
        <v>13565</v>
      </c>
      <c r="C204">
        <v>274</v>
      </c>
      <c r="D204">
        <v>13291</v>
      </c>
      <c r="E204" s="6">
        <v>0.97980095834869196</v>
      </c>
      <c r="F204" t="s">
        <v>17</v>
      </c>
      <c r="G204" t="s">
        <v>13</v>
      </c>
      <c r="H204" t="s">
        <v>14</v>
      </c>
      <c r="I204">
        <v>3</v>
      </c>
      <c r="J204">
        <v>9</v>
      </c>
    </row>
    <row r="205" spans="1:10" x14ac:dyDescent="0.35">
      <c r="A205" s="1">
        <v>45672</v>
      </c>
      <c r="B205">
        <v>10785</v>
      </c>
      <c r="C205">
        <v>858.5</v>
      </c>
      <c r="D205">
        <v>9926.5</v>
      </c>
      <c r="E205" s="6">
        <v>0.92039870190078799</v>
      </c>
      <c r="F205" t="s">
        <v>18</v>
      </c>
      <c r="G205" t="s">
        <v>13</v>
      </c>
      <c r="H205" t="s">
        <v>14</v>
      </c>
      <c r="I205">
        <v>3</v>
      </c>
      <c r="J205">
        <v>10</v>
      </c>
    </row>
    <row r="206" spans="1:10" x14ac:dyDescent="0.35">
      <c r="A206" s="1">
        <v>45673</v>
      </c>
      <c r="B206">
        <v>10684</v>
      </c>
      <c r="C206">
        <v>963</v>
      </c>
      <c r="D206">
        <v>9721</v>
      </c>
      <c r="E206" s="6">
        <v>0.90986521901909401</v>
      </c>
      <c r="F206" t="s">
        <v>12</v>
      </c>
      <c r="G206" t="s">
        <v>13</v>
      </c>
      <c r="H206" t="s">
        <v>14</v>
      </c>
      <c r="I206">
        <v>3</v>
      </c>
      <c r="J206">
        <v>11</v>
      </c>
    </row>
    <row r="207" spans="1:10" x14ac:dyDescent="0.35">
      <c r="A207" s="1">
        <v>45674</v>
      </c>
      <c r="B207">
        <v>10335</v>
      </c>
      <c r="C207">
        <v>1093</v>
      </c>
      <c r="D207">
        <v>9242</v>
      </c>
      <c r="E207" s="6">
        <v>0.89424286405418496</v>
      </c>
      <c r="F207" t="s">
        <v>15</v>
      </c>
      <c r="G207" t="s">
        <v>13</v>
      </c>
      <c r="H207" t="s">
        <v>14</v>
      </c>
      <c r="I207">
        <v>3</v>
      </c>
      <c r="J207">
        <v>12</v>
      </c>
    </row>
    <row r="208" spans="1:10" x14ac:dyDescent="0.35">
      <c r="A208" s="1">
        <v>45677</v>
      </c>
      <c r="B208">
        <v>15270</v>
      </c>
      <c r="C208">
        <v>1058</v>
      </c>
      <c r="D208">
        <v>14212</v>
      </c>
      <c r="E208" s="6">
        <v>0.93071381794368002</v>
      </c>
      <c r="F208" t="s">
        <v>16</v>
      </c>
      <c r="G208" t="s">
        <v>13</v>
      </c>
      <c r="H208" t="s">
        <v>14</v>
      </c>
      <c r="I208">
        <v>4</v>
      </c>
      <c r="J208">
        <v>13</v>
      </c>
    </row>
    <row r="209" spans="1:10" x14ac:dyDescent="0.35">
      <c r="A209" s="1">
        <v>45678</v>
      </c>
      <c r="B209">
        <v>11775</v>
      </c>
      <c r="C209">
        <v>820</v>
      </c>
      <c r="D209">
        <v>10955</v>
      </c>
      <c r="E209" s="6">
        <v>0.93036093418259003</v>
      </c>
      <c r="F209" t="s">
        <v>17</v>
      </c>
      <c r="G209" t="s">
        <v>13</v>
      </c>
      <c r="H209" t="s">
        <v>14</v>
      </c>
      <c r="I209">
        <v>4</v>
      </c>
      <c r="J209">
        <v>14</v>
      </c>
    </row>
    <row r="210" spans="1:10" x14ac:dyDescent="0.35">
      <c r="A210" s="1">
        <v>45679</v>
      </c>
      <c r="B210">
        <v>8908</v>
      </c>
      <c r="C210">
        <v>260.5</v>
      </c>
      <c r="D210">
        <v>8647.5</v>
      </c>
      <c r="E210" s="6">
        <v>0.97075662325999101</v>
      </c>
      <c r="F210" t="s">
        <v>18</v>
      </c>
      <c r="G210" t="s">
        <v>13</v>
      </c>
      <c r="H210" t="s">
        <v>14</v>
      </c>
      <c r="I210">
        <v>4</v>
      </c>
      <c r="J210">
        <v>15</v>
      </c>
    </row>
    <row r="211" spans="1:10" x14ac:dyDescent="0.35">
      <c r="A211" s="1">
        <v>45680</v>
      </c>
      <c r="B211">
        <v>9470</v>
      </c>
      <c r="C211">
        <v>2294</v>
      </c>
      <c r="D211">
        <v>7176</v>
      </c>
      <c r="E211" s="6">
        <v>0.75776135163674796</v>
      </c>
      <c r="F211" t="s">
        <v>12</v>
      </c>
      <c r="G211" t="s">
        <v>13</v>
      </c>
      <c r="H211" t="s">
        <v>14</v>
      </c>
      <c r="I211">
        <v>4</v>
      </c>
      <c r="J211">
        <v>16</v>
      </c>
    </row>
    <row r="212" spans="1:10" x14ac:dyDescent="0.35">
      <c r="A212" s="1">
        <v>45681</v>
      </c>
      <c r="B212">
        <v>8795</v>
      </c>
      <c r="C212">
        <v>346.5</v>
      </c>
      <c r="D212">
        <v>8448.5</v>
      </c>
      <c r="E212" s="6">
        <v>0.960602615122229</v>
      </c>
      <c r="F212" t="s">
        <v>15</v>
      </c>
      <c r="G212" t="s">
        <v>13</v>
      </c>
      <c r="H212" t="s">
        <v>14</v>
      </c>
      <c r="I212">
        <v>4</v>
      </c>
      <c r="J212">
        <v>17</v>
      </c>
    </row>
    <row r="213" spans="1:10" x14ac:dyDescent="0.35">
      <c r="A213" s="1">
        <v>45684</v>
      </c>
      <c r="B213">
        <v>12375</v>
      </c>
      <c r="C213">
        <v>1528</v>
      </c>
      <c r="D213">
        <v>10847</v>
      </c>
      <c r="E213" s="6">
        <v>0.87652525252525204</v>
      </c>
      <c r="F213" t="s">
        <v>16</v>
      </c>
      <c r="G213" t="s">
        <v>13</v>
      </c>
      <c r="H213" t="s">
        <v>14</v>
      </c>
      <c r="I213">
        <v>5</v>
      </c>
      <c r="J213">
        <v>18</v>
      </c>
    </row>
    <row r="214" spans="1:10" x14ac:dyDescent="0.35">
      <c r="A214" s="1">
        <v>45685</v>
      </c>
      <c r="B214">
        <v>15565</v>
      </c>
      <c r="C214">
        <v>2402</v>
      </c>
      <c r="D214">
        <v>13163</v>
      </c>
      <c r="E214" s="6">
        <v>0.84567940893029203</v>
      </c>
      <c r="F214" t="s">
        <v>17</v>
      </c>
      <c r="G214" t="s">
        <v>13</v>
      </c>
      <c r="H214" t="s">
        <v>14</v>
      </c>
      <c r="I214">
        <v>5</v>
      </c>
      <c r="J214">
        <v>19</v>
      </c>
    </row>
    <row r="215" spans="1:10" x14ac:dyDescent="0.35">
      <c r="A215" s="1">
        <v>45686</v>
      </c>
      <c r="B215">
        <v>12650</v>
      </c>
      <c r="C215">
        <v>473.5</v>
      </c>
      <c r="D215">
        <v>12176.5</v>
      </c>
      <c r="E215" s="6">
        <v>0.96256916996047404</v>
      </c>
      <c r="F215" t="s">
        <v>18</v>
      </c>
      <c r="G215" t="s">
        <v>13</v>
      </c>
      <c r="H215" t="s">
        <v>14</v>
      </c>
      <c r="I215">
        <v>5</v>
      </c>
      <c r="J215">
        <v>20</v>
      </c>
    </row>
    <row r="216" spans="1:10" x14ac:dyDescent="0.35">
      <c r="A216" s="1">
        <v>45687</v>
      </c>
      <c r="B216">
        <v>12331</v>
      </c>
      <c r="C216">
        <v>2153.5</v>
      </c>
      <c r="D216">
        <v>10177.5</v>
      </c>
      <c r="E216" s="6">
        <v>0.82535885167464096</v>
      </c>
      <c r="F216" t="s">
        <v>12</v>
      </c>
      <c r="G216" t="s">
        <v>13</v>
      </c>
      <c r="H216" t="s">
        <v>14</v>
      </c>
      <c r="I216">
        <v>5</v>
      </c>
      <c r="J216">
        <v>21</v>
      </c>
    </row>
    <row r="217" spans="1:10" x14ac:dyDescent="0.35">
      <c r="A217" s="1">
        <v>45688</v>
      </c>
      <c r="B217">
        <v>8752</v>
      </c>
      <c r="C217">
        <v>2503</v>
      </c>
      <c r="D217">
        <v>6249</v>
      </c>
      <c r="E217" s="6">
        <v>0.71400822669104203</v>
      </c>
      <c r="F217" t="s">
        <v>15</v>
      </c>
      <c r="G217" t="s">
        <v>13</v>
      </c>
      <c r="H217" t="s">
        <v>14</v>
      </c>
      <c r="I217">
        <v>5</v>
      </c>
      <c r="J217">
        <v>22</v>
      </c>
    </row>
    <row r="218" spans="1:10" x14ac:dyDescent="0.35">
      <c r="A218" s="1">
        <v>45691</v>
      </c>
      <c r="B218">
        <v>19380</v>
      </c>
      <c r="C218">
        <v>756</v>
      </c>
      <c r="D218">
        <v>18624</v>
      </c>
      <c r="E218" s="6">
        <v>0.96099071207430398</v>
      </c>
      <c r="F218" t="s">
        <v>16</v>
      </c>
      <c r="G218" t="s">
        <v>19</v>
      </c>
      <c r="H218" t="s">
        <v>14</v>
      </c>
      <c r="I218">
        <v>6</v>
      </c>
      <c r="J218">
        <v>23</v>
      </c>
    </row>
    <row r="219" spans="1:10" x14ac:dyDescent="0.35">
      <c r="A219" s="1">
        <v>45692</v>
      </c>
      <c r="B219">
        <v>14060</v>
      </c>
      <c r="C219">
        <v>464</v>
      </c>
      <c r="D219">
        <v>13596</v>
      </c>
      <c r="E219" s="6">
        <v>0.96699857752489304</v>
      </c>
      <c r="F219" t="s">
        <v>17</v>
      </c>
      <c r="G219" t="s">
        <v>19</v>
      </c>
      <c r="H219" t="s">
        <v>14</v>
      </c>
      <c r="I219">
        <v>6</v>
      </c>
      <c r="J219">
        <v>24</v>
      </c>
    </row>
    <row r="220" spans="1:10" x14ac:dyDescent="0.35">
      <c r="A220" s="1">
        <v>45693</v>
      </c>
      <c r="B220">
        <v>13575</v>
      </c>
      <c r="C220">
        <v>955</v>
      </c>
      <c r="D220">
        <v>12620</v>
      </c>
      <c r="E220" s="6">
        <v>0.929650092081031</v>
      </c>
      <c r="F220" t="s">
        <v>18</v>
      </c>
      <c r="G220" t="s">
        <v>19</v>
      </c>
      <c r="H220" t="s">
        <v>14</v>
      </c>
      <c r="I220">
        <v>6</v>
      </c>
      <c r="J220">
        <v>25</v>
      </c>
    </row>
    <row r="221" spans="1:10" x14ac:dyDescent="0.35">
      <c r="A221" s="1">
        <v>45694</v>
      </c>
      <c r="B221">
        <v>8210</v>
      </c>
      <c r="C221">
        <v>1490</v>
      </c>
      <c r="D221">
        <v>6720</v>
      </c>
      <c r="E221" s="6">
        <v>0.81851400730816104</v>
      </c>
      <c r="F221" t="s">
        <v>12</v>
      </c>
      <c r="G221" t="s">
        <v>19</v>
      </c>
      <c r="H221" t="s">
        <v>14</v>
      </c>
      <c r="I221">
        <v>6</v>
      </c>
      <c r="J221">
        <v>26</v>
      </c>
    </row>
    <row r="222" spans="1:10" x14ac:dyDescent="0.35">
      <c r="A222" s="1">
        <v>45695</v>
      </c>
      <c r="B222">
        <v>8855</v>
      </c>
      <c r="C222">
        <v>699.5</v>
      </c>
      <c r="D222">
        <v>8155.5</v>
      </c>
      <c r="E222" s="6">
        <v>0.92100508187464702</v>
      </c>
      <c r="F222" t="s">
        <v>15</v>
      </c>
      <c r="G222" t="s">
        <v>19</v>
      </c>
      <c r="H222" t="s">
        <v>14</v>
      </c>
      <c r="I222">
        <v>6</v>
      </c>
      <c r="J222">
        <v>27</v>
      </c>
    </row>
    <row r="223" spans="1:10" x14ac:dyDescent="0.35">
      <c r="A223" s="1">
        <v>45698</v>
      </c>
      <c r="B223">
        <v>14548</v>
      </c>
      <c r="C223">
        <v>3326</v>
      </c>
      <c r="D223">
        <v>11222</v>
      </c>
      <c r="E223" s="6">
        <v>0.77137750893593604</v>
      </c>
      <c r="F223" t="s">
        <v>16</v>
      </c>
      <c r="G223" t="s">
        <v>19</v>
      </c>
      <c r="H223" t="s">
        <v>14</v>
      </c>
      <c r="I223">
        <v>7</v>
      </c>
      <c r="J223">
        <v>28</v>
      </c>
    </row>
    <row r="224" spans="1:10" x14ac:dyDescent="0.35">
      <c r="A224" s="1">
        <v>45699</v>
      </c>
      <c r="B224">
        <v>19435</v>
      </c>
      <c r="C224">
        <v>241.5</v>
      </c>
      <c r="D224">
        <v>19193.5</v>
      </c>
      <c r="E224" s="6">
        <v>0.98757396449704105</v>
      </c>
      <c r="F224" t="s">
        <v>17</v>
      </c>
      <c r="G224" t="s">
        <v>19</v>
      </c>
      <c r="H224" t="s">
        <v>14</v>
      </c>
      <c r="I224">
        <v>7</v>
      </c>
      <c r="J224">
        <v>29</v>
      </c>
    </row>
    <row r="225" spans="1:10" x14ac:dyDescent="0.35">
      <c r="A225" s="1">
        <v>45700</v>
      </c>
      <c r="B225">
        <v>6080</v>
      </c>
      <c r="C225">
        <v>723</v>
      </c>
      <c r="D225">
        <v>5357</v>
      </c>
      <c r="E225" s="6">
        <v>0.88108552631578996</v>
      </c>
      <c r="F225" t="s">
        <v>18</v>
      </c>
      <c r="G225" t="s">
        <v>19</v>
      </c>
      <c r="H225" t="s">
        <v>14</v>
      </c>
      <c r="I225">
        <v>7</v>
      </c>
      <c r="J225">
        <v>30</v>
      </c>
    </row>
    <row r="226" spans="1:10" x14ac:dyDescent="0.35">
      <c r="A226" s="1">
        <v>45701</v>
      </c>
      <c r="B226">
        <v>10587.5</v>
      </c>
      <c r="C226">
        <v>1164.23</v>
      </c>
      <c r="D226">
        <v>9423.27</v>
      </c>
      <c r="E226" s="6">
        <v>0.89003730814639903</v>
      </c>
      <c r="F226" t="s">
        <v>12</v>
      </c>
      <c r="G226" t="s">
        <v>19</v>
      </c>
      <c r="H226" t="s">
        <v>14</v>
      </c>
      <c r="I226">
        <v>7</v>
      </c>
      <c r="J226">
        <v>31</v>
      </c>
    </row>
    <row r="227" spans="1:10" x14ac:dyDescent="0.35">
      <c r="A227" s="1">
        <v>45702</v>
      </c>
      <c r="B227">
        <v>9500</v>
      </c>
      <c r="C227">
        <v>1357.5</v>
      </c>
      <c r="D227">
        <v>8142.5</v>
      </c>
      <c r="E227" s="6">
        <v>0.85710526315789504</v>
      </c>
      <c r="F227" t="s">
        <v>15</v>
      </c>
      <c r="G227" t="s">
        <v>19</v>
      </c>
      <c r="H227" t="s">
        <v>14</v>
      </c>
      <c r="I227">
        <v>7</v>
      </c>
      <c r="J227">
        <v>32</v>
      </c>
    </row>
    <row r="228" spans="1:10" x14ac:dyDescent="0.35">
      <c r="A228" s="1">
        <v>45705</v>
      </c>
      <c r="B228">
        <v>21020</v>
      </c>
      <c r="C228">
        <v>379</v>
      </c>
      <c r="D228">
        <v>20641</v>
      </c>
      <c r="E228" s="6">
        <v>0.98196955280685105</v>
      </c>
      <c r="F228" t="s">
        <v>16</v>
      </c>
      <c r="G228" t="s">
        <v>19</v>
      </c>
      <c r="H228" t="s">
        <v>14</v>
      </c>
      <c r="I228">
        <v>8</v>
      </c>
      <c r="J228">
        <v>33</v>
      </c>
    </row>
    <row r="229" spans="1:10" x14ac:dyDescent="0.35">
      <c r="A229" s="1">
        <v>45706</v>
      </c>
      <c r="B229">
        <v>10280</v>
      </c>
      <c r="C229">
        <v>463</v>
      </c>
      <c r="D229">
        <v>9817</v>
      </c>
      <c r="E229" s="6">
        <v>0.95496108949416403</v>
      </c>
      <c r="F229" t="s">
        <v>17</v>
      </c>
      <c r="G229" t="s">
        <v>19</v>
      </c>
      <c r="H229" t="s">
        <v>14</v>
      </c>
      <c r="I229">
        <v>8</v>
      </c>
      <c r="J229">
        <v>34</v>
      </c>
    </row>
    <row r="230" spans="1:10" x14ac:dyDescent="0.35">
      <c r="A230" s="1">
        <v>45707</v>
      </c>
      <c r="B230">
        <v>11700</v>
      </c>
      <c r="C230">
        <v>1802</v>
      </c>
      <c r="D230">
        <v>9898</v>
      </c>
      <c r="E230" s="6">
        <v>0.84598290598290604</v>
      </c>
      <c r="F230" t="s">
        <v>18</v>
      </c>
      <c r="G230" t="s">
        <v>19</v>
      </c>
      <c r="H230" t="s">
        <v>14</v>
      </c>
      <c r="I230">
        <v>8</v>
      </c>
      <c r="J230">
        <v>35</v>
      </c>
    </row>
    <row r="231" spans="1:10" x14ac:dyDescent="0.35">
      <c r="A231" s="1">
        <v>45708</v>
      </c>
      <c r="B231">
        <v>10930</v>
      </c>
      <c r="C231">
        <v>2115</v>
      </c>
      <c r="D231">
        <v>8815</v>
      </c>
      <c r="E231" s="6">
        <v>0.80649588289112595</v>
      </c>
      <c r="F231" t="s">
        <v>12</v>
      </c>
      <c r="G231" t="s">
        <v>19</v>
      </c>
      <c r="H231" t="s">
        <v>14</v>
      </c>
      <c r="I231">
        <v>8</v>
      </c>
      <c r="J231">
        <v>36</v>
      </c>
    </row>
    <row r="232" spans="1:10" x14ac:dyDescent="0.35">
      <c r="A232" s="1">
        <v>45709</v>
      </c>
      <c r="B232">
        <v>10943</v>
      </c>
      <c r="C232">
        <v>236</v>
      </c>
      <c r="D232">
        <v>10707</v>
      </c>
      <c r="E232" s="6">
        <v>0.97843370190989698</v>
      </c>
      <c r="F232" t="s">
        <v>15</v>
      </c>
      <c r="G232" t="s">
        <v>19</v>
      </c>
      <c r="H232" t="s">
        <v>14</v>
      </c>
      <c r="I232">
        <v>8</v>
      </c>
      <c r="J232">
        <v>37</v>
      </c>
    </row>
    <row r="233" spans="1:10" x14ac:dyDescent="0.35">
      <c r="A233" s="1">
        <v>45712</v>
      </c>
      <c r="B233">
        <v>15097</v>
      </c>
      <c r="C233">
        <v>1342</v>
      </c>
      <c r="D233">
        <v>13755</v>
      </c>
      <c r="E233" s="6">
        <v>0.911108167185534</v>
      </c>
      <c r="F233" t="s">
        <v>16</v>
      </c>
      <c r="G233" t="s">
        <v>19</v>
      </c>
      <c r="H233" t="s">
        <v>14</v>
      </c>
      <c r="I233">
        <v>9</v>
      </c>
      <c r="J233">
        <v>38</v>
      </c>
    </row>
    <row r="234" spans="1:10" x14ac:dyDescent="0.35">
      <c r="A234" s="1">
        <v>45713</v>
      </c>
      <c r="B234">
        <v>11915</v>
      </c>
      <c r="C234">
        <v>560</v>
      </c>
      <c r="D234">
        <v>11355</v>
      </c>
      <c r="E234" s="6">
        <v>0.95300041963910997</v>
      </c>
      <c r="F234" t="s">
        <v>17</v>
      </c>
      <c r="G234" t="s">
        <v>19</v>
      </c>
      <c r="H234" t="s">
        <v>14</v>
      </c>
      <c r="I234">
        <v>9</v>
      </c>
      <c r="J234">
        <v>39</v>
      </c>
    </row>
    <row r="235" spans="1:10" x14ac:dyDescent="0.35">
      <c r="A235" s="1">
        <v>45714</v>
      </c>
      <c r="B235">
        <v>16925</v>
      </c>
      <c r="C235">
        <v>1634</v>
      </c>
      <c r="D235">
        <v>15291</v>
      </c>
      <c r="E235" s="6">
        <v>0.90345642540620397</v>
      </c>
      <c r="F235" t="s">
        <v>18</v>
      </c>
      <c r="G235" t="s">
        <v>19</v>
      </c>
      <c r="H235" t="s">
        <v>14</v>
      </c>
      <c r="I235">
        <v>9</v>
      </c>
      <c r="J235">
        <v>40</v>
      </c>
    </row>
    <row r="236" spans="1:10" x14ac:dyDescent="0.35">
      <c r="A236" s="1">
        <v>45715</v>
      </c>
      <c r="B236">
        <v>12920</v>
      </c>
      <c r="C236">
        <v>4113</v>
      </c>
      <c r="D236">
        <v>8807</v>
      </c>
      <c r="E236" s="6">
        <v>0.68165634674922604</v>
      </c>
      <c r="F236" t="s">
        <v>12</v>
      </c>
      <c r="G236" t="s">
        <v>19</v>
      </c>
      <c r="H236" t="s">
        <v>14</v>
      </c>
      <c r="I236">
        <v>9</v>
      </c>
      <c r="J236">
        <v>41</v>
      </c>
    </row>
    <row r="237" spans="1:10" x14ac:dyDescent="0.35">
      <c r="A237" s="1">
        <v>45716</v>
      </c>
      <c r="B237">
        <v>10065</v>
      </c>
      <c r="C237">
        <v>1408</v>
      </c>
      <c r="D237">
        <v>8657</v>
      </c>
      <c r="E237" s="6">
        <v>0.86010928961748601</v>
      </c>
      <c r="F237" t="s">
        <v>15</v>
      </c>
      <c r="G237" t="s">
        <v>19</v>
      </c>
      <c r="H237" t="s">
        <v>14</v>
      </c>
      <c r="I237">
        <v>9</v>
      </c>
      <c r="J237">
        <v>42</v>
      </c>
    </row>
    <row r="238" spans="1:10" x14ac:dyDescent="0.35">
      <c r="A238" s="1">
        <v>45719</v>
      </c>
      <c r="B238">
        <v>19479</v>
      </c>
      <c r="C238">
        <v>667.5</v>
      </c>
      <c r="D238">
        <v>18811.5</v>
      </c>
      <c r="E238" s="6">
        <v>0.96573232712151602</v>
      </c>
      <c r="F238" t="s">
        <v>16</v>
      </c>
      <c r="G238" t="s">
        <v>20</v>
      </c>
      <c r="H238" t="s">
        <v>14</v>
      </c>
      <c r="I238">
        <v>10</v>
      </c>
      <c r="J238">
        <v>43</v>
      </c>
    </row>
    <row r="239" spans="1:10" x14ac:dyDescent="0.35">
      <c r="A239" s="1">
        <v>45720</v>
      </c>
      <c r="B239">
        <v>13125</v>
      </c>
      <c r="C239">
        <v>2832</v>
      </c>
      <c r="D239">
        <v>10293</v>
      </c>
      <c r="E239" s="6">
        <v>0.78422857142857105</v>
      </c>
      <c r="F239" t="s">
        <v>17</v>
      </c>
      <c r="G239" t="s">
        <v>20</v>
      </c>
      <c r="H239" t="s">
        <v>14</v>
      </c>
      <c r="I239">
        <v>10</v>
      </c>
      <c r="J239">
        <v>44</v>
      </c>
    </row>
    <row r="240" spans="1:10" x14ac:dyDescent="0.35">
      <c r="A240" s="1">
        <v>45721</v>
      </c>
      <c r="B240">
        <v>11645</v>
      </c>
      <c r="C240">
        <v>1590.5</v>
      </c>
      <c r="D240">
        <v>10054.5</v>
      </c>
      <c r="E240" s="6">
        <v>0.86341777586947199</v>
      </c>
      <c r="F240" t="s">
        <v>18</v>
      </c>
      <c r="G240" t="s">
        <v>20</v>
      </c>
      <c r="H240" t="s">
        <v>14</v>
      </c>
      <c r="I240">
        <v>10</v>
      </c>
      <c r="J240">
        <v>45</v>
      </c>
    </row>
    <row r="241" spans="1:10" x14ac:dyDescent="0.35">
      <c r="A241" s="1">
        <v>45722</v>
      </c>
      <c r="B241">
        <v>7390</v>
      </c>
      <c r="C241">
        <v>290</v>
      </c>
      <c r="D241">
        <v>7100</v>
      </c>
      <c r="E241" s="6">
        <v>0.96075778078484397</v>
      </c>
      <c r="F241" t="s">
        <v>12</v>
      </c>
      <c r="G241" t="s">
        <v>20</v>
      </c>
      <c r="H241" t="s">
        <v>14</v>
      </c>
      <c r="I241">
        <v>10</v>
      </c>
      <c r="J241">
        <v>46</v>
      </c>
    </row>
    <row r="242" spans="1:10" x14ac:dyDescent="0.35">
      <c r="A242" s="1">
        <v>45723</v>
      </c>
      <c r="B242">
        <v>15980</v>
      </c>
      <c r="C242">
        <v>263</v>
      </c>
      <c r="D242">
        <v>15717</v>
      </c>
      <c r="E242" s="6">
        <v>0.98354192740926205</v>
      </c>
      <c r="F242" t="s">
        <v>15</v>
      </c>
      <c r="G242" t="s">
        <v>20</v>
      </c>
      <c r="H242" t="s">
        <v>14</v>
      </c>
      <c r="I242">
        <v>10</v>
      </c>
      <c r="J242">
        <v>47</v>
      </c>
    </row>
    <row r="243" spans="1:10" x14ac:dyDescent="0.35">
      <c r="A243" s="1">
        <v>45726</v>
      </c>
      <c r="B243">
        <v>18740</v>
      </c>
      <c r="C243">
        <v>1447.5</v>
      </c>
      <c r="D243">
        <v>17292.5</v>
      </c>
      <c r="E243" s="6">
        <v>0.92275880469583804</v>
      </c>
      <c r="F243" t="s">
        <v>16</v>
      </c>
      <c r="G243" t="s">
        <v>20</v>
      </c>
      <c r="H243" t="s">
        <v>14</v>
      </c>
      <c r="I243">
        <v>11</v>
      </c>
      <c r="J243">
        <v>48</v>
      </c>
    </row>
    <row r="244" spans="1:10" x14ac:dyDescent="0.35">
      <c r="A244" s="1">
        <v>45727</v>
      </c>
      <c r="B244">
        <v>15585</v>
      </c>
      <c r="C244">
        <v>791.5</v>
      </c>
      <c r="D244">
        <v>14793.5</v>
      </c>
      <c r="E244" s="6">
        <v>0.94921398780878996</v>
      </c>
      <c r="F244" t="s">
        <v>17</v>
      </c>
      <c r="G244" t="s">
        <v>20</v>
      </c>
      <c r="H244" t="s">
        <v>14</v>
      </c>
      <c r="I244">
        <v>11</v>
      </c>
      <c r="J244">
        <v>49</v>
      </c>
    </row>
    <row r="245" spans="1:10" x14ac:dyDescent="0.35">
      <c r="A245" s="1">
        <v>45728</v>
      </c>
      <c r="B245">
        <v>12520</v>
      </c>
      <c r="C245">
        <v>1350</v>
      </c>
      <c r="D245">
        <v>11170</v>
      </c>
      <c r="E245" s="6">
        <v>0.89217252396166102</v>
      </c>
      <c r="F245" t="s">
        <v>18</v>
      </c>
      <c r="G245" t="s">
        <v>20</v>
      </c>
      <c r="H245" t="s">
        <v>14</v>
      </c>
      <c r="I245">
        <v>11</v>
      </c>
      <c r="J245">
        <v>50</v>
      </c>
    </row>
    <row r="246" spans="1:10" x14ac:dyDescent="0.35">
      <c r="A246" s="1">
        <v>45729</v>
      </c>
      <c r="B246">
        <v>11445</v>
      </c>
      <c r="C246">
        <v>1205</v>
      </c>
      <c r="D246">
        <v>10240</v>
      </c>
      <c r="E246" s="6">
        <v>0.89471384884228899</v>
      </c>
      <c r="F246" t="s">
        <v>12</v>
      </c>
      <c r="G246" t="s">
        <v>20</v>
      </c>
      <c r="H246" t="s">
        <v>14</v>
      </c>
      <c r="I246">
        <v>11</v>
      </c>
      <c r="J246">
        <v>51</v>
      </c>
    </row>
    <row r="247" spans="1:10" x14ac:dyDescent="0.35">
      <c r="A247" s="1">
        <v>45730</v>
      </c>
      <c r="B247">
        <v>12748</v>
      </c>
      <c r="C247">
        <v>2314.5</v>
      </c>
      <c r="D247">
        <v>10433.5</v>
      </c>
      <c r="E247" s="6">
        <v>0.81844210856605004</v>
      </c>
      <c r="F247" t="s">
        <v>15</v>
      </c>
      <c r="G247" t="s">
        <v>20</v>
      </c>
      <c r="H247" t="s">
        <v>14</v>
      </c>
      <c r="I247">
        <v>11</v>
      </c>
      <c r="J247">
        <v>52</v>
      </c>
    </row>
    <row r="248" spans="1:10" x14ac:dyDescent="0.35">
      <c r="A248" s="1">
        <v>45733</v>
      </c>
      <c r="B248">
        <v>17030</v>
      </c>
      <c r="C248">
        <v>879</v>
      </c>
      <c r="D248">
        <v>16151</v>
      </c>
      <c r="E248" s="6">
        <v>0.94838520258367598</v>
      </c>
      <c r="F248" t="s">
        <v>16</v>
      </c>
      <c r="G248" t="s">
        <v>20</v>
      </c>
      <c r="H248" t="s">
        <v>14</v>
      </c>
      <c r="I248">
        <v>12</v>
      </c>
      <c r="J248">
        <v>53</v>
      </c>
    </row>
    <row r="249" spans="1:10" x14ac:dyDescent="0.35">
      <c r="A249" s="1">
        <v>45734</v>
      </c>
      <c r="B249">
        <v>12955</v>
      </c>
      <c r="C249">
        <v>704</v>
      </c>
      <c r="D249">
        <v>12251</v>
      </c>
      <c r="E249" s="6">
        <v>0.94565804708606704</v>
      </c>
      <c r="F249" t="s">
        <v>17</v>
      </c>
      <c r="G249" t="s">
        <v>20</v>
      </c>
      <c r="H249" t="s">
        <v>14</v>
      </c>
      <c r="I249">
        <v>12</v>
      </c>
      <c r="J249">
        <v>54</v>
      </c>
    </row>
    <row r="250" spans="1:10" x14ac:dyDescent="0.35">
      <c r="A250" s="1">
        <v>45735</v>
      </c>
      <c r="B250">
        <v>11120</v>
      </c>
      <c r="C250">
        <v>584.5</v>
      </c>
      <c r="D250">
        <v>10535.5</v>
      </c>
      <c r="E250" s="6">
        <v>0.94743705035971204</v>
      </c>
      <c r="F250" t="s">
        <v>18</v>
      </c>
      <c r="G250" t="s">
        <v>20</v>
      </c>
      <c r="H250" t="s">
        <v>14</v>
      </c>
      <c r="I250">
        <v>12</v>
      </c>
      <c r="J250">
        <v>55</v>
      </c>
    </row>
    <row r="251" spans="1:10" x14ac:dyDescent="0.35">
      <c r="A251" s="1">
        <v>45736</v>
      </c>
      <c r="B251">
        <v>11865</v>
      </c>
      <c r="C251">
        <v>0</v>
      </c>
      <c r="D251">
        <v>11865</v>
      </c>
      <c r="E251" s="6">
        <v>1</v>
      </c>
      <c r="F251" t="s">
        <v>12</v>
      </c>
      <c r="G251" t="s">
        <v>20</v>
      </c>
      <c r="H251" t="s">
        <v>14</v>
      </c>
      <c r="I251">
        <v>12</v>
      </c>
      <c r="J251">
        <v>56</v>
      </c>
    </row>
    <row r="252" spans="1:10" x14ac:dyDescent="0.35">
      <c r="A252" s="1">
        <v>45737</v>
      </c>
      <c r="B252">
        <v>17130</v>
      </c>
      <c r="C252">
        <v>590</v>
      </c>
      <c r="D252">
        <v>16540</v>
      </c>
      <c r="E252" s="6">
        <v>0.96555750145942798</v>
      </c>
      <c r="F252" t="s">
        <v>15</v>
      </c>
      <c r="G252" t="s">
        <v>20</v>
      </c>
      <c r="H252" t="s">
        <v>14</v>
      </c>
      <c r="I252">
        <v>12</v>
      </c>
      <c r="J252">
        <v>57</v>
      </c>
    </row>
    <row r="253" spans="1:10" x14ac:dyDescent="0.35">
      <c r="A253" s="1">
        <v>45740</v>
      </c>
      <c r="B253">
        <v>15225</v>
      </c>
      <c r="C253">
        <v>1061.5</v>
      </c>
      <c r="D253">
        <v>14163.5</v>
      </c>
      <c r="E253" s="6">
        <v>0.93027914614121499</v>
      </c>
      <c r="F253" t="s">
        <v>16</v>
      </c>
      <c r="G253" t="s">
        <v>20</v>
      </c>
      <c r="H253" t="s">
        <v>14</v>
      </c>
      <c r="I253">
        <v>13</v>
      </c>
      <c r="J253">
        <v>58</v>
      </c>
    </row>
    <row r="254" spans="1:10" x14ac:dyDescent="0.35">
      <c r="A254" s="1">
        <v>45741</v>
      </c>
      <c r="B254">
        <v>10075</v>
      </c>
      <c r="C254">
        <v>641</v>
      </c>
      <c r="D254">
        <v>9434</v>
      </c>
      <c r="E254" s="6">
        <v>0.93637717121588104</v>
      </c>
      <c r="F254" t="s">
        <v>17</v>
      </c>
      <c r="G254" t="s">
        <v>20</v>
      </c>
      <c r="H254" t="s">
        <v>14</v>
      </c>
      <c r="I254">
        <v>13</v>
      </c>
      <c r="J254">
        <v>59</v>
      </c>
    </row>
    <row r="255" spans="1:10" x14ac:dyDescent="0.35">
      <c r="A255" s="1">
        <v>45742</v>
      </c>
      <c r="B255">
        <v>10595</v>
      </c>
      <c r="C255">
        <v>376</v>
      </c>
      <c r="D255">
        <v>10219</v>
      </c>
      <c r="E255" s="6">
        <v>0.96451156205757405</v>
      </c>
      <c r="F255" t="s">
        <v>18</v>
      </c>
      <c r="G255" t="s">
        <v>20</v>
      </c>
      <c r="H255" t="s">
        <v>14</v>
      </c>
      <c r="I255">
        <v>13</v>
      </c>
      <c r="J255">
        <v>60</v>
      </c>
    </row>
    <row r="256" spans="1:10" x14ac:dyDescent="0.35">
      <c r="A256" s="1">
        <v>45743</v>
      </c>
      <c r="B256">
        <v>8791</v>
      </c>
      <c r="C256">
        <v>238</v>
      </c>
      <c r="D256">
        <v>8553</v>
      </c>
      <c r="E256" s="6">
        <v>0.97292685701285397</v>
      </c>
      <c r="F256" t="s">
        <v>12</v>
      </c>
      <c r="G256" t="s">
        <v>20</v>
      </c>
      <c r="H256" t="s">
        <v>14</v>
      </c>
      <c r="I256">
        <v>13</v>
      </c>
      <c r="J256">
        <v>61</v>
      </c>
    </row>
    <row r="257" spans="1:10" x14ac:dyDescent="0.35">
      <c r="A257" s="1">
        <v>45744</v>
      </c>
      <c r="B257">
        <v>11415</v>
      </c>
      <c r="C257">
        <v>1970</v>
      </c>
      <c r="D257">
        <v>9445</v>
      </c>
      <c r="E257" s="6">
        <v>0.82742006132282098</v>
      </c>
      <c r="F257" t="s">
        <v>15</v>
      </c>
      <c r="G257" t="s">
        <v>20</v>
      </c>
      <c r="H257" t="s">
        <v>14</v>
      </c>
      <c r="I257">
        <v>13</v>
      </c>
      <c r="J257">
        <v>62</v>
      </c>
    </row>
    <row r="258" spans="1:10" x14ac:dyDescent="0.35">
      <c r="A258" s="1">
        <v>45747</v>
      </c>
      <c r="B258">
        <v>13958</v>
      </c>
      <c r="C258">
        <v>434</v>
      </c>
      <c r="D258">
        <v>13524</v>
      </c>
      <c r="E258" s="6">
        <v>0.96890672016048096</v>
      </c>
      <c r="F258" t="s">
        <v>16</v>
      </c>
      <c r="G258" t="s">
        <v>20</v>
      </c>
      <c r="H258" t="s">
        <v>14</v>
      </c>
      <c r="I258">
        <v>14</v>
      </c>
      <c r="J258">
        <v>63</v>
      </c>
    </row>
  </sheetData>
  <phoneticPr fontId="2" type="noConversion"/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6798-F0C2-49D5-BD8C-10075C709FBA}">
  <dimension ref="A1:M28"/>
  <sheetViews>
    <sheetView topLeftCell="B1" zoomScale="64" workbookViewId="0">
      <selection activeCell="N15" sqref="N15"/>
    </sheetView>
  </sheetViews>
  <sheetFormatPr defaultRowHeight="14.5" x14ac:dyDescent="0.35"/>
  <cols>
    <col min="1" max="1" width="14.08984375" bestFit="1" customWidth="1"/>
    <col min="2" max="2" width="12.08984375" bestFit="1" customWidth="1"/>
    <col min="3" max="3" width="15.54296875" bestFit="1" customWidth="1"/>
    <col min="4" max="4" width="12.08984375" bestFit="1" customWidth="1"/>
    <col min="5" max="5" width="14.54296875" bestFit="1" customWidth="1"/>
    <col min="7" max="7" width="12.453125" bestFit="1" customWidth="1"/>
    <col min="8" max="8" width="16.08984375" bestFit="1" customWidth="1"/>
    <col min="11" max="11" width="13.54296875" bestFit="1" customWidth="1"/>
    <col min="12" max="13" width="16.1796875" bestFit="1" customWidth="1"/>
    <col min="14" max="14" width="23.81640625" bestFit="1" customWidth="1"/>
    <col min="15" max="18" width="8.90625" bestFit="1" customWidth="1"/>
    <col min="19" max="19" width="9.90625" bestFit="1" customWidth="1"/>
    <col min="20" max="23" width="8.90625" bestFit="1" customWidth="1"/>
    <col min="24" max="24" width="10.36328125" bestFit="1" customWidth="1"/>
  </cols>
  <sheetData>
    <row r="1" spans="1:13" x14ac:dyDescent="0.35">
      <c r="A1" t="s">
        <v>8</v>
      </c>
      <c r="B1" t="s">
        <v>33</v>
      </c>
      <c r="C1" t="s">
        <v>34</v>
      </c>
      <c r="D1" t="s">
        <v>35</v>
      </c>
      <c r="E1" t="s">
        <v>36</v>
      </c>
    </row>
    <row r="2" spans="1:13" x14ac:dyDescent="0.35">
      <c r="A2" t="s">
        <v>13</v>
      </c>
      <c r="B2">
        <v>277365</v>
      </c>
      <c r="C2">
        <v>24372.73</v>
      </c>
      <c r="D2">
        <v>252992.27000000002</v>
      </c>
      <c r="E2">
        <v>12607.5</v>
      </c>
    </row>
    <row r="3" spans="1:13" x14ac:dyDescent="0.35">
      <c r="A3" t="s">
        <v>19</v>
      </c>
      <c r="B3">
        <v>256025.5</v>
      </c>
      <c r="C3">
        <v>25228.73</v>
      </c>
      <c r="D3">
        <v>230796.77000000002</v>
      </c>
      <c r="E3">
        <v>12801.275</v>
      </c>
    </row>
    <row r="4" spans="1:13" x14ac:dyDescent="0.35">
      <c r="A4" t="s">
        <v>20</v>
      </c>
      <c r="B4">
        <v>278816</v>
      </c>
      <c r="C4">
        <v>20229.5</v>
      </c>
      <c r="D4">
        <v>258586.5</v>
      </c>
      <c r="E4">
        <v>13276.952380952382</v>
      </c>
    </row>
    <row r="5" spans="1:13" x14ac:dyDescent="0.35">
      <c r="A5" t="s">
        <v>21</v>
      </c>
      <c r="B5">
        <v>307701</v>
      </c>
      <c r="C5">
        <v>24500.9</v>
      </c>
      <c r="D5">
        <v>283200.09999999998</v>
      </c>
      <c r="E5">
        <v>13986.409090909092</v>
      </c>
    </row>
    <row r="6" spans="1:13" x14ac:dyDescent="0.35">
      <c r="A6" t="s">
        <v>23</v>
      </c>
      <c r="B6">
        <v>341818</v>
      </c>
      <c r="C6">
        <v>29629.33</v>
      </c>
      <c r="D6">
        <v>312188.67000000004</v>
      </c>
      <c r="E6">
        <v>15537.181818181818</v>
      </c>
    </row>
    <row r="7" spans="1:13" x14ac:dyDescent="0.35">
      <c r="A7" t="s">
        <v>24</v>
      </c>
      <c r="B7">
        <v>313887.5</v>
      </c>
      <c r="C7">
        <v>16593.599999999999</v>
      </c>
      <c r="D7">
        <v>297293.90000000002</v>
      </c>
      <c r="E7">
        <v>14947.023809523809</v>
      </c>
    </row>
    <row r="8" spans="1:13" x14ac:dyDescent="0.35">
      <c r="A8" t="s">
        <v>25</v>
      </c>
      <c r="B8">
        <v>327259</v>
      </c>
      <c r="C8">
        <v>20390.7</v>
      </c>
      <c r="D8">
        <v>306868.3</v>
      </c>
      <c r="E8">
        <v>14228.652173913044</v>
      </c>
    </row>
    <row r="9" spans="1:13" x14ac:dyDescent="0.35">
      <c r="A9" t="s">
        <v>27</v>
      </c>
      <c r="B9">
        <v>346802.5</v>
      </c>
      <c r="C9">
        <v>22578.3</v>
      </c>
      <c r="D9">
        <v>324224.2</v>
      </c>
      <c r="E9">
        <v>16514.404761904763</v>
      </c>
    </row>
    <row r="10" spans="1:13" x14ac:dyDescent="0.35">
      <c r="A10" t="s">
        <v>28</v>
      </c>
      <c r="B10">
        <v>318170</v>
      </c>
      <c r="C10">
        <v>17109.3</v>
      </c>
      <c r="D10">
        <v>301060.7</v>
      </c>
      <c r="E10">
        <v>14462.272727272728</v>
      </c>
    </row>
    <row r="11" spans="1:13" x14ac:dyDescent="0.35">
      <c r="A11" t="s">
        <v>29</v>
      </c>
      <c r="B11">
        <v>364610</v>
      </c>
      <c r="C11">
        <v>20135.099999999999</v>
      </c>
      <c r="D11">
        <v>344474.9</v>
      </c>
      <c r="E11">
        <v>15852.608695652174</v>
      </c>
    </row>
    <row r="12" spans="1:13" x14ac:dyDescent="0.35">
      <c r="A12" t="s">
        <v>31</v>
      </c>
      <c r="B12">
        <v>365721</v>
      </c>
      <c r="C12">
        <v>21436.6</v>
      </c>
      <c r="D12">
        <v>344284.4</v>
      </c>
      <c r="E12">
        <v>18286.05</v>
      </c>
    </row>
    <row r="13" spans="1:13" x14ac:dyDescent="0.35">
      <c r="A13" t="s">
        <v>32</v>
      </c>
      <c r="B13">
        <v>342023</v>
      </c>
      <c r="C13">
        <v>17879.900000000001</v>
      </c>
      <c r="D13">
        <v>324143.09999999998</v>
      </c>
      <c r="E13">
        <v>17101.150000000001</v>
      </c>
    </row>
    <row r="15" spans="1:13" x14ac:dyDescent="0.35">
      <c r="K15" s="4" t="s">
        <v>45</v>
      </c>
      <c r="L15" t="s">
        <v>47</v>
      </c>
      <c r="M15" t="s">
        <v>48</v>
      </c>
    </row>
    <row r="16" spans="1:13" x14ac:dyDescent="0.35">
      <c r="K16" s="5" t="s">
        <v>13</v>
      </c>
      <c r="L16">
        <v>277365</v>
      </c>
      <c r="M16">
        <v>252992.27000000002</v>
      </c>
    </row>
    <row r="17" spans="11:13" x14ac:dyDescent="0.35">
      <c r="K17" s="5" t="s">
        <v>19</v>
      </c>
      <c r="L17">
        <v>256025.5</v>
      </c>
      <c r="M17">
        <v>230796.77000000002</v>
      </c>
    </row>
    <row r="18" spans="11:13" x14ac:dyDescent="0.35">
      <c r="K18" s="5" t="s">
        <v>20</v>
      </c>
      <c r="L18">
        <v>278816</v>
      </c>
      <c r="M18">
        <v>258586.5</v>
      </c>
    </row>
    <row r="19" spans="11:13" x14ac:dyDescent="0.35">
      <c r="K19" s="5" t="s">
        <v>21</v>
      </c>
      <c r="L19">
        <v>307701</v>
      </c>
      <c r="M19">
        <v>283200.09999999998</v>
      </c>
    </row>
    <row r="20" spans="11:13" x14ac:dyDescent="0.35">
      <c r="K20" s="5" t="s">
        <v>23</v>
      </c>
      <c r="L20">
        <v>341818</v>
      </c>
      <c r="M20">
        <v>312188.67000000004</v>
      </c>
    </row>
    <row r="21" spans="11:13" x14ac:dyDescent="0.35">
      <c r="K21" s="5" t="s">
        <v>24</v>
      </c>
      <c r="L21">
        <v>313887.5</v>
      </c>
      <c r="M21">
        <v>297293.90000000002</v>
      </c>
    </row>
    <row r="22" spans="11:13" x14ac:dyDescent="0.35">
      <c r="K22" s="5" t="s">
        <v>25</v>
      </c>
      <c r="L22">
        <v>327259</v>
      </c>
      <c r="M22">
        <v>306868.3</v>
      </c>
    </row>
    <row r="23" spans="11:13" x14ac:dyDescent="0.35">
      <c r="K23" s="5" t="s">
        <v>27</v>
      </c>
      <c r="L23">
        <v>346802.5</v>
      </c>
      <c r="M23">
        <v>324224.2</v>
      </c>
    </row>
    <row r="24" spans="11:13" x14ac:dyDescent="0.35">
      <c r="K24" s="5" t="s">
        <v>28</v>
      </c>
      <c r="L24">
        <v>318170</v>
      </c>
      <c r="M24">
        <v>301060.7</v>
      </c>
    </row>
    <row r="25" spans="11:13" x14ac:dyDescent="0.35">
      <c r="K25" s="5" t="s">
        <v>29</v>
      </c>
      <c r="L25">
        <v>364610</v>
      </c>
      <c r="M25">
        <v>344474.9</v>
      </c>
    </row>
    <row r="26" spans="11:13" x14ac:dyDescent="0.35">
      <c r="K26" s="5" t="s">
        <v>31</v>
      </c>
      <c r="L26">
        <v>365721</v>
      </c>
      <c r="M26">
        <v>344284.4</v>
      </c>
    </row>
    <row r="27" spans="11:13" x14ac:dyDescent="0.35">
      <c r="K27" s="5" t="s">
        <v>32</v>
      </c>
      <c r="L27">
        <v>342023</v>
      </c>
      <c r="M27">
        <v>324143.09999999998</v>
      </c>
    </row>
    <row r="28" spans="11:13" x14ac:dyDescent="0.35">
      <c r="K28" s="5" t="s">
        <v>46</v>
      </c>
      <c r="L28">
        <v>3840198.5</v>
      </c>
      <c r="M28">
        <v>3580113.81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0E9F-4944-47F7-8510-0FA518032549}">
  <dimension ref="A1:E25"/>
  <sheetViews>
    <sheetView workbookViewId="0">
      <selection activeCell="G11" sqref="G11"/>
    </sheetView>
  </sheetViews>
  <sheetFormatPr defaultRowHeight="14.5" x14ac:dyDescent="0.35"/>
  <cols>
    <col min="1" max="1" width="12" bestFit="1" customWidth="1"/>
    <col min="2" max="2" width="12.54296875" style="2" bestFit="1" customWidth="1"/>
    <col min="3" max="3" width="12.453125" style="2" bestFit="1" customWidth="1"/>
    <col min="4" max="5" width="16.54296875" style="2" bestFit="1" customWidth="1"/>
    <col min="6" max="8" width="10.90625" bestFit="1" customWidth="1"/>
    <col min="9" max="9" width="12.453125" bestFit="1" customWidth="1"/>
    <col min="10" max="12" width="16.54296875" bestFit="1" customWidth="1"/>
    <col min="13" max="14" width="21.1796875" bestFit="1" customWidth="1"/>
  </cols>
  <sheetData>
    <row r="1" spans="1:5" x14ac:dyDescent="0.35">
      <c r="A1" t="s">
        <v>7</v>
      </c>
      <c r="B1" s="2" t="s">
        <v>37</v>
      </c>
      <c r="C1" s="2" t="s">
        <v>38</v>
      </c>
      <c r="D1" s="2" t="s">
        <v>39</v>
      </c>
      <c r="E1" s="2" t="s">
        <v>40</v>
      </c>
    </row>
    <row r="2" spans="1:5" x14ac:dyDescent="0.35">
      <c r="A2" t="s">
        <v>15</v>
      </c>
      <c r="B2" s="2">
        <v>907316</v>
      </c>
      <c r="C2" s="2">
        <v>845295.6</v>
      </c>
      <c r="D2" s="2">
        <v>62020.4</v>
      </c>
      <c r="E2" s="2">
        <v>16574.423529411764</v>
      </c>
    </row>
    <row r="3" spans="1:5" x14ac:dyDescent="0.35">
      <c r="A3" t="s">
        <v>16</v>
      </c>
      <c r="B3" s="2">
        <v>858128</v>
      </c>
      <c r="C3" s="2">
        <v>813169</v>
      </c>
      <c r="D3" s="2">
        <v>44959</v>
      </c>
      <c r="E3" s="2">
        <v>15637.865384615385</v>
      </c>
    </row>
    <row r="4" spans="1:5" x14ac:dyDescent="0.35">
      <c r="A4" t="s">
        <v>12</v>
      </c>
      <c r="B4" s="2">
        <v>653104.5</v>
      </c>
      <c r="C4" s="2">
        <v>592978.93999999994</v>
      </c>
      <c r="D4" s="2">
        <v>60125.56</v>
      </c>
      <c r="E4" s="2">
        <v>11627.038039215686</v>
      </c>
    </row>
    <row r="5" spans="1:5" x14ac:dyDescent="0.35">
      <c r="A5" t="s">
        <v>17</v>
      </c>
      <c r="B5" s="2">
        <v>708963</v>
      </c>
      <c r="C5" s="2">
        <v>663414.87000000011</v>
      </c>
      <c r="D5" s="2">
        <v>45548.13</v>
      </c>
      <c r="E5" s="2">
        <v>12757.978269230769</v>
      </c>
    </row>
    <row r="6" spans="1:5" x14ac:dyDescent="0.35">
      <c r="A6" t="s">
        <v>18</v>
      </c>
      <c r="B6" s="2">
        <v>712687</v>
      </c>
      <c r="C6" s="2">
        <v>665255.4</v>
      </c>
      <c r="D6" s="2">
        <v>47431.6</v>
      </c>
      <c r="E6" s="2">
        <v>13044.223529411764</v>
      </c>
    </row>
    <row r="8" spans="1:5" x14ac:dyDescent="0.35">
      <c r="C8" s="4" t="s">
        <v>45</v>
      </c>
      <c r="D8" t="s">
        <v>50</v>
      </c>
      <c r="E8" t="s">
        <v>49</v>
      </c>
    </row>
    <row r="9" spans="1:5" x14ac:dyDescent="0.35">
      <c r="C9" s="5" t="s">
        <v>16</v>
      </c>
      <c r="D9" s="2">
        <v>858128</v>
      </c>
      <c r="E9" s="2">
        <v>813169</v>
      </c>
    </row>
    <row r="10" spans="1:5" x14ac:dyDescent="0.35">
      <c r="C10" s="5" t="s">
        <v>17</v>
      </c>
      <c r="D10" s="2">
        <v>708963</v>
      </c>
      <c r="E10" s="2">
        <v>663414.87000000011</v>
      </c>
    </row>
    <row r="11" spans="1:5" x14ac:dyDescent="0.35">
      <c r="C11" s="5" t="s">
        <v>18</v>
      </c>
      <c r="D11" s="2">
        <v>712687</v>
      </c>
      <c r="E11" s="2">
        <v>665255.4</v>
      </c>
    </row>
    <row r="12" spans="1:5" x14ac:dyDescent="0.35">
      <c r="C12" s="5" t="s">
        <v>12</v>
      </c>
      <c r="D12" s="2">
        <v>653104.5</v>
      </c>
      <c r="E12" s="2">
        <v>592978.93999999994</v>
      </c>
    </row>
    <row r="13" spans="1:5" x14ac:dyDescent="0.35">
      <c r="C13" s="5" t="s">
        <v>15</v>
      </c>
      <c r="D13" s="2">
        <v>907316</v>
      </c>
      <c r="E13" s="2">
        <v>845295.6</v>
      </c>
    </row>
    <row r="14" spans="1:5" x14ac:dyDescent="0.35">
      <c r="C14" s="5" t="s">
        <v>46</v>
      </c>
      <c r="D14" s="2">
        <v>3840198.5</v>
      </c>
      <c r="E14" s="2">
        <v>3580113.81</v>
      </c>
    </row>
    <row r="15" spans="1:5" x14ac:dyDescent="0.35">
      <c r="C15"/>
      <c r="D15"/>
      <c r="E15"/>
    </row>
    <row r="16" spans="1:5" x14ac:dyDescent="0.35">
      <c r="C16"/>
      <c r="D16"/>
      <c r="E16"/>
    </row>
    <row r="17" spans="3:5" x14ac:dyDescent="0.35">
      <c r="C17"/>
      <c r="D17"/>
      <c r="E17"/>
    </row>
    <row r="18" spans="3:5" x14ac:dyDescent="0.35">
      <c r="C18"/>
      <c r="D18"/>
      <c r="E18"/>
    </row>
    <row r="19" spans="3:5" x14ac:dyDescent="0.35">
      <c r="C19"/>
      <c r="D19"/>
      <c r="E19"/>
    </row>
    <row r="20" spans="3:5" x14ac:dyDescent="0.35">
      <c r="C20"/>
      <c r="D20"/>
      <c r="E20"/>
    </row>
    <row r="21" spans="3:5" x14ac:dyDescent="0.35">
      <c r="C21"/>
      <c r="D21"/>
      <c r="E21"/>
    </row>
    <row r="22" spans="3:5" x14ac:dyDescent="0.35">
      <c r="C22"/>
      <c r="D22"/>
      <c r="E22"/>
    </row>
    <row r="23" spans="3:5" x14ac:dyDescent="0.35">
      <c r="C23"/>
      <c r="D23"/>
      <c r="E23"/>
    </row>
    <row r="24" spans="3:5" x14ac:dyDescent="0.35">
      <c r="C24"/>
      <c r="D24"/>
      <c r="E24"/>
    </row>
    <row r="25" spans="3:5" x14ac:dyDescent="0.35">
      <c r="C25"/>
      <c r="D25"/>
      <c r="E25"/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FD66-D94A-476C-B5A7-52EDD51A345D}">
  <dimension ref="A1:E366"/>
  <sheetViews>
    <sheetView workbookViewId="0">
      <selection activeCell="G8" sqref="G8"/>
    </sheetView>
  </sheetViews>
  <sheetFormatPr defaultRowHeight="14.5" x14ac:dyDescent="0.35"/>
  <cols>
    <col min="1" max="1" width="10.08984375" bestFit="1" customWidth="1"/>
    <col min="2" max="2" width="8.36328125" bestFit="1" customWidth="1"/>
    <col min="3" max="3" width="13.6328125" bestFit="1" customWidth="1"/>
    <col min="4" max="4" width="9.36328125" bestFit="1" customWidth="1"/>
    <col min="5" max="5" width="15.1796875" bestFit="1" customWidth="1"/>
  </cols>
  <sheetData>
    <row r="1" spans="1:5" x14ac:dyDescent="0.35">
      <c r="A1" t="s">
        <v>41</v>
      </c>
      <c r="B1" t="s">
        <v>42</v>
      </c>
      <c r="C1" t="s">
        <v>43</v>
      </c>
      <c r="D1" t="s">
        <v>9</v>
      </c>
      <c r="E1" t="s">
        <v>44</v>
      </c>
    </row>
    <row r="2" spans="1:5" x14ac:dyDescent="0.35">
      <c r="A2" s="1">
        <v>45658</v>
      </c>
      <c r="B2">
        <v>1</v>
      </c>
      <c r="C2" t="s">
        <v>13</v>
      </c>
      <c r="D2">
        <v>1</v>
      </c>
      <c r="E2" t="s">
        <v>14</v>
      </c>
    </row>
    <row r="3" spans="1:5" x14ac:dyDescent="0.35">
      <c r="A3" s="1">
        <v>45659</v>
      </c>
      <c r="B3">
        <v>1</v>
      </c>
      <c r="C3" t="s">
        <v>13</v>
      </c>
      <c r="D3">
        <v>1</v>
      </c>
      <c r="E3" t="s">
        <v>14</v>
      </c>
    </row>
    <row r="4" spans="1:5" x14ac:dyDescent="0.35">
      <c r="A4" s="1">
        <v>45660</v>
      </c>
      <c r="B4">
        <v>1</v>
      </c>
      <c r="C4" t="s">
        <v>13</v>
      </c>
      <c r="D4">
        <v>1</v>
      </c>
      <c r="E4" t="s">
        <v>14</v>
      </c>
    </row>
    <row r="5" spans="1:5" x14ac:dyDescent="0.35">
      <c r="A5" s="1">
        <v>45661</v>
      </c>
      <c r="B5">
        <v>1</v>
      </c>
      <c r="C5" t="s">
        <v>13</v>
      </c>
      <c r="D5">
        <v>1</v>
      </c>
      <c r="E5" t="s">
        <v>14</v>
      </c>
    </row>
    <row r="6" spans="1:5" x14ac:dyDescent="0.35">
      <c r="A6" s="1">
        <v>45662</v>
      </c>
      <c r="B6">
        <v>1</v>
      </c>
      <c r="C6" t="s">
        <v>13</v>
      </c>
      <c r="D6">
        <v>1</v>
      </c>
      <c r="E6" t="s">
        <v>14</v>
      </c>
    </row>
    <row r="7" spans="1:5" x14ac:dyDescent="0.35">
      <c r="A7" s="1">
        <v>45663</v>
      </c>
      <c r="B7">
        <v>1</v>
      </c>
      <c r="C7" t="s">
        <v>13</v>
      </c>
      <c r="D7">
        <v>1</v>
      </c>
      <c r="E7" t="s">
        <v>14</v>
      </c>
    </row>
    <row r="8" spans="1:5" x14ac:dyDescent="0.35">
      <c r="A8" s="1">
        <v>45664</v>
      </c>
      <c r="B8">
        <v>1</v>
      </c>
      <c r="C8" t="s">
        <v>13</v>
      </c>
      <c r="D8">
        <v>1</v>
      </c>
      <c r="E8" t="s">
        <v>14</v>
      </c>
    </row>
    <row r="9" spans="1:5" x14ac:dyDescent="0.35">
      <c r="A9" s="1">
        <v>45665</v>
      </c>
      <c r="B9">
        <v>1</v>
      </c>
      <c r="C9" t="s">
        <v>13</v>
      </c>
      <c r="D9">
        <v>1</v>
      </c>
      <c r="E9" t="s">
        <v>14</v>
      </c>
    </row>
    <row r="10" spans="1:5" x14ac:dyDescent="0.35">
      <c r="A10" s="1">
        <v>45666</v>
      </c>
      <c r="B10">
        <v>1</v>
      </c>
      <c r="C10" t="s">
        <v>13</v>
      </c>
      <c r="D10">
        <v>1</v>
      </c>
      <c r="E10" t="s">
        <v>14</v>
      </c>
    </row>
    <row r="11" spans="1:5" x14ac:dyDescent="0.35">
      <c r="A11" s="1">
        <v>45667</v>
      </c>
      <c r="B11">
        <v>1</v>
      </c>
      <c r="C11" t="s">
        <v>13</v>
      </c>
      <c r="D11">
        <v>1</v>
      </c>
      <c r="E11" t="s">
        <v>14</v>
      </c>
    </row>
    <row r="12" spans="1:5" x14ac:dyDescent="0.35">
      <c r="A12" s="1">
        <v>45668</v>
      </c>
      <c r="B12">
        <v>1</v>
      </c>
      <c r="C12" t="s">
        <v>13</v>
      </c>
      <c r="D12">
        <v>1</v>
      </c>
      <c r="E12" t="s">
        <v>14</v>
      </c>
    </row>
    <row r="13" spans="1:5" x14ac:dyDescent="0.35">
      <c r="A13" s="1">
        <v>45669</v>
      </c>
      <c r="B13">
        <v>1</v>
      </c>
      <c r="C13" t="s">
        <v>13</v>
      </c>
      <c r="D13">
        <v>1</v>
      </c>
      <c r="E13" t="s">
        <v>14</v>
      </c>
    </row>
    <row r="14" spans="1:5" x14ac:dyDescent="0.35">
      <c r="A14" s="1">
        <v>45670</v>
      </c>
      <c r="B14">
        <v>1</v>
      </c>
      <c r="C14" t="s">
        <v>13</v>
      </c>
      <c r="D14">
        <v>1</v>
      </c>
      <c r="E14" t="s">
        <v>14</v>
      </c>
    </row>
    <row r="15" spans="1:5" x14ac:dyDescent="0.35">
      <c r="A15" s="1">
        <v>45671</v>
      </c>
      <c r="B15">
        <v>1</v>
      </c>
      <c r="C15" t="s">
        <v>13</v>
      </c>
      <c r="D15">
        <v>1</v>
      </c>
      <c r="E15" t="s">
        <v>14</v>
      </c>
    </row>
    <row r="16" spans="1:5" x14ac:dyDescent="0.35">
      <c r="A16" s="1">
        <v>45672</v>
      </c>
      <c r="B16">
        <v>1</v>
      </c>
      <c r="C16" t="s">
        <v>13</v>
      </c>
      <c r="D16">
        <v>1</v>
      </c>
      <c r="E16" t="s">
        <v>14</v>
      </c>
    </row>
    <row r="17" spans="1:5" x14ac:dyDescent="0.35">
      <c r="A17" s="1">
        <v>45673</v>
      </c>
      <c r="B17">
        <v>1</v>
      </c>
      <c r="C17" t="s">
        <v>13</v>
      </c>
      <c r="D17">
        <v>1</v>
      </c>
      <c r="E17" t="s">
        <v>14</v>
      </c>
    </row>
    <row r="18" spans="1:5" x14ac:dyDescent="0.35">
      <c r="A18" s="1">
        <v>45674</v>
      </c>
      <c r="B18">
        <v>1</v>
      </c>
      <c r="C18" t="s">
        <v>13</v>
      </c>
      <c r="D18">
        <v>1</v>
      </c>
      <c r="E18" t="s">
        <v>14</v>
      </c>
    </row>
    <row r="19" spans="1:5" x14ac:dyDescent="0.35">
      <c r="A19" s="1">
        <v>45675</v>
      </c>
      <c r="B19">
        <v>1</v>
      </c>
      <c r="C19" t="s">
        <v>13</v>
      </c>
      <c r="D19">
        <v>1</v>
      </c>
      <c r="E19" t="s">
        <v>14</v>
      </c>
    </row>
    <row r="20" spans="1:5" x14ac:dyDescent="0.35">
      <c r="A20" s="1">
        <v>45676</v>
      </c>
      <c r="B20">
        <v>1</v>
      </c>
      <c r="C20" t="s">
        <v>13</v>
      </c>
      <c r="D20">
        <v>1</v>
      </c>
      <c r="E20" t="s">
        <v>14</v>
      </c>
    </row>
    <row r="21" spans="1:5" x14ac:dyDescent="0.35">
      <c r="A21" s="1">
        <v>45677</v>
      </c>
      <c r="B21">
        <v>1</v>
      </c>
      <c r="C21" t="s">
        <v>13</v>
      </c>
      <c r="D21">
        <v>1</v>
      </c>
      <c r="E21" t="s">
        <v>14</v>
      </c>
    </row>
    <row r="22" spans="1:5" x14ac:dyDescent="0.35">
      <c r="A22" s="1">
        <v>45678</v>
      </c>
      <c r="B22">
        <v>1</v>
      </c>
      <c r="C22" t="s">
        <v>13</v>
      </c>
      <c r="D22">
        <v>1</v>
      </c>
      <c r="E22" t="s">
        <v>14</v>
      </c>
    </row>
    <row r="23" spans="1:5" x14ac:dyDescent="0.35">
      <c r="A23" s="1">
        <v>45679</v>
      </c>
      <c r="B23">
        <v>1</v>
      </c>
      <c r="C23" t="s">
        <v>13</v>
      </c>
      <c r="D23">
        <v>1</v>
      </c>
      <c r="E23" t="s">
        <v>14</v>
      </c>
    </row>
    <row r="24" spans="1:5" x14ac:dyDescent="0.35">
      <c r="A24" s="1">
        <v>45680</v>
      </c>
      <c r="B24">
        <v>1</v>
      </c>
      <c r="C24" t="s">
        <v>13</v>
      </c>
      <c r="D24">
        <v>1</v>
      </c>
      <c r="E24" t="s">
        <v>14</v>
      </c>
    </row>
    <row r="25" spans="1:5" x14ac:dyDescent="0.35">
      <c r="A25" s="1">
        <v>45681</v>
      </c>
      <c r="B25">
        <v>1</v>
      </c>
      <c r="C25" t="s">
        <v>13</v>
      </c>
      <c r="D25">
        <v>1</v>
      </c>
      <c r="E25" t="s">
        <v>14</v>
      </c>
    </row>
    <row r="26" spans="1:5" x14ac:dyDescent="0.35">
      <c r="A26" s="1">
        <v>45682</v>
      </c>
      <c r="B26">
        <v>1</v>
      </c>
      <c r="C26" t="s">
        <v>13</v>
      </c>
      <c r="D26">
        <v>1</v>
      </c>
      <c r="E26" t="s">
        <v>14</v>
      </c>
    </row>
    <row r="27" spans="1:5" x14ac:dyDescent="0.35">
      <c r="A27" s="1">
        <v>45683</v>
      </c>
      <c r="B27">
        <v>1</v>
      </c>
      <c r="C27" t="s">
        <v>13</v>
      </c>
      <c r="D27">
        <v>1</v>
      </c>
      <c r="E27" t="s">
        <v>14</v>
      </c>
    </row>
    <row r="28" spans="1:5" x14ac:dyDescent="0.35">
      <c r="A28" s="1">
        <v>45684</v>
      </c>
      <c r="B28">
        <v>1</v>
      </c>
      <c r="C28" t="s">
        <v>13</v>
      </c>
      <c r="D28">
        <v>1</v>
      </c>
      <c r="E28" t="s">
        <v>14</v>
      </c>
    </row>
    <row r="29" spans="1:5" x14ac:dyDescent="0.35">
      <c r="A29" s="1">
        <v>45685</v>
      </c>
      <c r="B29">
        <v>1</v>
      </c>
      <c r="C29" t="s">
        <v>13</v>
      </c>
      <c r="D29">
        <v>1</v>
      </c>
      <c r="E29" t="s">
        <v>14</v>
      </c>
    </row>
    <row r="30" spans="1:5" x14ac:dyDescent="0.35">
      <c r="A30" s="1">
        <v>45686</v>
      </c>
      <c r="B30">
        <v>1</v>
      </c>
      <c r="C30" t="s">
        <v>13</v>
      </c>
      <c r="D30">
        <v>1</v>
      </c>
      <c r="E30" t="s">
        <v>14</v>
      </c>
    </row>
    <row r="31" spans="1:5" x14ac:dyDescent="0.35">
      <c r="A31" s="1">
        <v>45687</v>
      </c>
      <c r="B31">
        <v>1</v>
      </c>
      <c r="C31" t="s">
        <v>13</v>
      </c>
      <c r="D31">
        <v>1</v>
      </c>
      <c r="E31" t="s">
        <v>14</v>
      </c>
    </row>
    <row r="32" spans="1:5" x14ac:dyDescent="0.35">
      <c r="A32" s="1">
        <v>45688</v>
      </c>
      <c r="B32">
        <v>1</v>
      </c>
      <c r="C32" t="s">
        <v>13</v>
      </c>
      <c r="D32">
        <v>1</v>
      </c>
      <c r="E32" t="s">
        <v>14</v>
      </c>
    </row>
    <row r="33" spans="1:5" x14ac:dyDescent="0.35">
      <c r="A33" s="1">
        <v>45689</v>
      </c>
      <c r="B33">
        <v>2</v>
      </c>
      <c r="C33" t="s">
        <v>19</v>
      </c>
      <c r="D33">
        <v>1</v>
      </c>
      <c r="E33" t="s">
        <v>14</v>
      </c>
    </row>
    <row r="34" spans="1:5" x14ac:dyDescent="0.35">
      <c r="A34" s="1">
        <v>45690</v>
      </c>
      <c r="B34">
        <v>2</v>
      </c>
      <c r="C34" t="s">
        <v>19</v>
      </c>
      <c r="D34">
        <v>1</v>
      </c>
      <c r="E34" t="s">
        <v>14</v>
      </c>
    </row>
    <row r="35" spans="1:5" x14ac:dyDescent="0.35">
      <c r="A35" s="1">
        <v>45691</v>
      </c>
      <c r="B35">
        <v>2</v>
      </c>
      <c r="C35" t="s">
        <v>19</v>
      </c>
      <c r="D35">
        <v>1</v>
      </c>
      <c r="E35" t="s">
        <v>14</v>
      </c>
    </row>
    <row r="36" spans="1:5" x14ac:dyDescent="0.35">
      <c r="A36" s="1">
        <v>45692</v>
      </c>
      <c r="B36">
        <v>2</v>
      </c>
      <c r="C36" t="s">
        <v>19</v>
      </c>
      <c r="D36">
        <v>1</v>
      </c>
      <c r="E36" t="s">
        <v>14</v>
      </c>
    </row>
    <row r="37" spans="1:5" x14ac:dyDescent="0.35">
      <c r="A37" s="1">
        <v>45693</v>
      </c>
      <c r="B37">
        <v>2</v>
      </c>
      <c r="C37" t="s">
        <v>19</v>
      </c>
      <c r="D37">
        <v>1</v>
      </c>
      <c r="E37" t="s">
        <v>14</v>
      </c>
    </row>
    <row r="38" spans="1:5" x14ac:dyDescent="0.35">
      <c r="A38" s="1">
        <v>45694</v>
      </c>
      <c r="B38">
        <v>2</v>
      </c>
      <c r="C38" t="s">
        <v>19</v>
      </c>
      <c r="D38">
        <v>1</v>
      </c>
      <c r="E38" t="s">
        <v>14</v>
      </c>
    </row>
    <row r="39" spans="1:5" x14ac:dyDescent="0.35">
      <c r="A39" s="1">
        <v>45695</v>
      </c>
      <c r="B39">
        <v>2</v>
      </c>
      <c r="C39" t="s">
        <v>19</v>
      </c>
      <c r="D39">
        <v>1</v>
      </c>
      <c r="E39" t="s">
        <v>14</v>
      </c>
    </row>
    <row r="40" spans="1:5" x14ac:dyDescent="0.35">
      <c r="A40" s="1">
        <v>45696</v>
      </c>
      <c r="B40">
        <v>2</v>
      </c>
      <c r="C40" t="s">
        <v>19</v>
      </c>
      <c r="D40">
        <v>1</v>
      </c>
      <c r="E40" t="s">
        <v>14</v>
      </c>
    </row>
    <row r="41" spans="1:5" x14ac:dyDescent="0.35">
      <c r="A41" s="1">
        <v>45697</v>
      </c>
      <c r="B41">
        <v>2</v>
      </c>
      <c r="C41" t="s">
        <v>19</v>
      </c>
      <c r="D41">
        <v>1</v>
      </c>
      <c r="E41" t="s">
        <v>14</v>
      </c>
    </row>
    <row r="42" spans="1:5" x14ac:dyDescent="0.35">
      <c r="A42" s="1">
        <v>45698</v>
      </c>
      <c r="B42">
        <v>2</v>
      </c>
      <c r="C42" t="s">
        <v>19</v>
      </c>
      <c r="D42">
        <v>1</v>
      </c>
      <c r="E42" t="s">
        <v>14</v>
      </c>
    </row>
    <row r="43" spans="1:5" x14ac:dyDescent="0.35">
      <c r="A43" s="1">
        <v>45699</v>
      </c>
      <c r="B43">
        <v>2</v>
      </c>
      <c r="C43" t="s">
        <v>19</v>
      </c>
      <c r="D43">
        <v>1</v>
      </c>
      <c r="E43" t="s">
        <v>14</v>
      </c>
    </row>
    <row r="44" spans="1:5" x14ac:dyDescent="0.35">
      <c r="A44" s="1">
        <v>45700</v>
      </c>
      <c r="B44">
        <v>2</v>
      </c>
      <c r="C44" t="s">
        <v>19</v>
      </c>
      <c r="D44">
        <v>1</v>
      </c>
      <c r="E44" t="s">
        <v>14</v>
      </c>
    </row>
    <row r="45" spans="1:5" x14ac:dyDescent="0.35">
      <c r="A45" s="1">
        <v>45701</v>
      </c>
      <c r="B45">
        <v>2</v>
      </c>
      <c r="C45" t="s">
        <v>19</v>
      </c>
      <c r="D45">
        <v>1</v>
      </c>
      <c r="E45" t="s">
        <v>14</v>
      </c>
    </row>
    <row r="46" spans="1:5" x14ac:dyDescent="0.35">
      <c r="A46" s="1">
        <v>45702</v>
      </c>
      <c r="B46">
        <v>2</v>
      </c>
      <c r="C46" t="s">
        <v>19</v>
      </c>
      <c r="D46">
        <v>1</v>
      </c>
      <c r="E46" t="s">
        <v>14</v>
      </c>
    </row>
    <row r="47" spans="1:5" x14ac:dyDescent="0.35">
      <c r="A47" s="1">
        <v>45703</v>
      </c>
      <c r="B47">
        <v>2</v>
      </c>
      <c r="C47" t="s">
        <v>19</v>
      </c>
      <c r="D47">
        <v>1</v>
      </c>
      <c r="E47" t="s">
        <v>14</v>
      </c>
    </row>
    <row r="48" spans="1:5" x14ac:dyDescent="0.35">
      <c r="A48" s="1">
        <v>45704</v>
      </c>
      <c r="B48">
        <v>2</v>
      </c>
      <c r="C48" t="s">
        <v>19</v>
      </c>
      <c r="D48">
        <v>1</v>
      </c>
      <c r="E48" t="s">
        <v>14</v>
      </c>
    </row>
    <row r="49" spans="1:5" x14ac:dyDescent="0.35">
      <c r="A49" s="1">
        <v>45705</v>
      </c>
      <c r="B49">
        <v>2</v>
      </c>
      <c r="C49" t="s">
        <v>19</v>
      </c>
      <c r="D49">
        <v>1</v>
      </c>
      <c r="E49" t="s">
        <v>14</v>
      </c>
    </row>
    <row r="50" spans="1:5" x14ac:dyDescent="0.35">
      <c r="A50" s="1">
        <v>45706</v>
      </c>
      <c r="B50">
        <v>2</v>
      </c>
      <c r="C50" t="s">
        <v>19</v>
      </c>
      <c r="D50">
        <v>1</v>
      </c>
      <c r="E50" t="s">
        <v>14</v>
      </c>
    </row>
    <row r="51" spans="1:5" x14ac:dyDescent="0.35">
      <c r="A51" s="1">
        <v>45707</v>
      </c>
      <c r="B51">
        <v>2</v>
      </c>
      <c r="C51" t="s">
        <v>19</v>
      </c>
      <c r="D51">
        <v>1</v>
      </c>
      <c r="E51" t="s">
        <v>14</v>
      </c>
    </row>
    <row r="52" spans="1:5" x14ac:dyDescent="0.35">
      <c r="A52" s="1">
        <v>45708</v>
      </c>
      <c r="B52">
        <v>2</v>
      </c>
      <c r="C52" t="s">
        <v>19</v>
      </c>
      <c r="D52">
        <v>1</v>
      </c>
      <c r="E52" t="s">
        <v>14</v>
      </c>
    </row>
    <row r="53" spans="1:5" x14ac:dyDescent="0.35">
      <c r="A53" s="1">
        <v>45709</v>
      </c>
      <c r="B53">
        <v>2</v>
      </c>
      <c r="C53" t="s">
        <v>19</v>
      </c>
      <c r="D53">
        <v>1</v>
      </c>
      <c r="E53" t="s">
        <v>14</v>
      </c>
    </row>
    <row r="54" spans="1:5" x14ac:dyDescent="0.35">
      <c r="A54" s="1">
        <v>45710</v>
      </c>
      <c r="B54">
        <v>2</v>
      </c>
      <c r="C54" t="s">
        <v>19</v>
      </c>
      <c r="D54">
        <v>1</v>
      </c>
      <c r="E54" t="s">
        <v>14</v>
      </c>
    </row>
    <row r="55" spans="1:5" x14ac:dyDescent="0.35">
      <c r="A55" s="1">
        <v>45711</v>
      </c>
      <c r="B55">
        <v>2</v>
      </c>
      <c r="C55" t="s">
        <v>19</v>
      </c>
      <c r="D55">
        <v>1</v>
      </c>
      <c r="E55" t="s">
        <v>14</v>
      </c>
    </row>
    <row r="56" spans="1:5" x14ac:dyDescent="0.35">
      <c r="A56" s="1">
        <v>45712</v>
      </c>
      <c r="B56">
        <v>2</v>
      </c>
      <c r="C56" t="s">
        <v>19</v>
      </c>
      <c r="D56">
        <v>1</v>
      </c>
      <c r="E56" t="s">
        <v>14</v>
      </c>
    </row>
    <row r="57" spans="1:5" x14ac:dyDescent="0.35">
      <c r="A57" s="1">
        <v>45713</v>
      </c>
      <c r="B57">
        <v>2</v>
      </c>
      <c r="C57" t="s">
        <v>19</v>
      </c>
      <c r="D57">
        <v>1</v>
      </c>
      <c r="E57" t="s">
        <v>14</v>
      </c>
    </row>
    <row r="58" spans="1:5" x14ac:dyDescent="0.35">
      <c r="A58" s="1">
        <v>45714</v>
      </c>
      <c r="B58">
        <v>2</v>
      </c>
      <c r="C58" t="s">
        <v>19</v>
      </c>
      <c r="D58">
        <v>1</v>
      </c>
      <c r="E58" t="s">
        <v>14</v>
      </c>
    </row>
    <row r="59" spans="1:5" x14ac:dyDescent="0.35">
      <c r="A59" s="1">
        <v>45715</v>
      </c>
      <c r="B59">
        <v>2</v>
      </c>
      <c r="C59" t="s">
        <v>19</v>
      </c>
      <c r="D59">
        <v>1</v>
      </c>
      <c r="E59" t="s">
        <v>14</v>
      </c>
    </row>
    <row r="60" spans="1:5" x14ac:dyDescent="0.35">
      <c r="A60" s="1">
        <v>45716</v>
      </c>
      <c r="B60">
        <v>2</v>
      </c>
      <c r="C60" t="s">
        <v>19</v>
      </c>
      <c r="D60">
        <v>1</v>
      </c>
      <c r="E60" t="s">
        <v>14</v>
      </c>
    </row>
    <row r="61" spans="1:5" x14ac:dyDescent="0.35">
      <c r="A61" s="1">
        <v>45717</v>
      </c>
      <c r="B61">
        <v>3</v>
      </c>
      <c r="C61" t="s">
        <v>20</v>
      </c>
      <c r="D61">
        <v>1</v>
      </c>
      <c r="E61" t="s">
        <v>14</v>
      </c>
    </row>
    <row r="62" spans="1:5" x14ac:dyDescent="0.35">
      <c r="A62" s="1">
        <v>45718</v>
      </c>
      <c r="B62">
        <v>3</v>
      </c>
      <c r="C62" t="s">
        <v>20</v>
      </c>
      <c r="D62">
        <v>1</v>
      </c>
      <c r="E62" t="s">
        <v>14</v>
      </c>
    </row>
    <row r="63" spans="1:5" x14ac:dyDescent="0.35">
      <c r="A63" s="1">
        <v>45719</v>
      </c>
      <c r="B63">
        <v>3</v>
      </c>
      <c r="C63" t="s">
        <v>20</v>
      </c>
      <c r="D63">
        <v>1</v>
      </c>
      <c r="E63" t="s">
        <v>14</v>
      </c>
    </row>
    <row r="64" spans="1:5" x14ac:dyDescent="0.35">
      <c r="A64" s="1">
        <v>45720</v>
      </c>
      <c r="B64">
        <v>3</v>
      </c>
      <c r="C64" t="s">
        <v>20</v>
      </c>
      <c r="D64">
        <v>1</v>
      </c>
      <c r="E64" t="s">
        <v>14</v>
      </c>
    </row>
    <row r="65" spans="1:5" x14ac:dyDescent="0.35">
      <c r="A65" s="1">
        <v>45721</v>
      </c>
      <c r="B65">
        <v>3</v>
      </c>
      <c r="C65" t="s">
        <v>20</v>
      </c>
      <c r="D65">
        <v>1</v>
      </c>
      <c r="E65" t="s">
        <v>14</v>
      </c>
    </row>
    <row r="66" spans="1:5" x14ac:dyDescent="0.35">
      <c r="A66" s="1">
        <v>45722</v>
      </c>
      <c r="B66">
        <v>3</v>
      </c>
      <c r="C66" t="s">
        <v>20</v>
      </c>
      <c r="D66">
        <v>1</v>
      </c>
      <c r="E66" t="s">
        <v>14</v>
      </c>
    </row>
    <row r="67" spans="1:5" x14ac:dyDescent="0.35">
      <c r="A67" s="1">
        <v>45723</v>
      </c>
      <c r="B67">
        <v>3</v>
      </c>
      <c r="C67" t="s">
        <v>20</v>
      </c>
      <c r="D67">
        <v>1</v>
      </c>
      <c r="E67" t="s">
        <v>14</v>
      </c>
    </row>
    <row r="68" spans="1:5" x14ac:dyDescent="0.35">
      <c r="A68" s="1">
        <v>45724</v>
      </c>
      <c r="B68">
        <v>3</v>
      </c>
      <c r="C68" t="s">
        <v>20</v>
      </c>
      <c r="D68">
        <v>1</v>
      </c>
      <c r="E68" t="s">
        <v>14</v>
      </c>
    </row>
    <row r="69" spans="1:5" x14ac:dyDescent="0.35">
      <c r="A69" s="1">
        <v>45725</v>
      </c>
      <c r="B69">
        <v>3</v>
      </c>
      <c r="C69" t="s">
        <v>20</v>
      </c>
      <c r="D69">
        <v>1</v>
      </c>
      <c r="E69" t="s">
        <v>14</v>
      </c>
    </row>
    <row r="70" spans="1:5" x14ac:dyDescent="0.35">
      <c r="A70" s="1">
        <v>45726</v>
      </c>
      <c r="B70">
        <v>3</v>
      </c>
      <c r="C70" t="s">
        <v>20</v>
      </c>
      <c r="D70">
        <v>1</v>
      </c>
      <c r="E70" t="s">
        <v>14</v>
      </c>
    </row>
    <row r="71" spans="1:5" x14ac:dyDescent="0.35">
      <c r="A71" s="1">
        <v>45727</v>
      </c>
      <c r="B71">
        <v>3</v>
      </c>
      <c r="C71" t="s">
        <v>20</v>
      </c>
      <c r="D71">
        <v>1</v>
      </c>
      <c r="E71" t="s">
        <v>14</v>
      </c>
    </row>
    <row r="72" spans="1:5" x14ac:dyDescent="0.35">
      <c r="A72" s="1">
        <v>45728</v>
      </c>
      <c r="B72">
        <v>3</v>
      </c>
      <c r="C72" t="s">
        <v>20</v>
      </c>
      <c r="D72">
        <v>1</v>
      </c>
      <c r="E72" t="s">
        <v>14</v>
      </c>
    </row>
    <row r="73" spans="1:5" x14ac:dyDescent="0.35">
      <c r="A73" s="1">
        <v>45729</v>
      </c>
      <c r="B73">
        <v>3</v>
      </c>
      <c r="C73" t="s">
        <v>20</v>
      </c>
      <c r="D73">
        <v>1</v>
      </c>
      <c r="E73" t="s">
        <v>14</v>
      </c>
    </row>
    <row r="74" spans="1:5" x14ac:dyDescent="0.35">
      <c r="A74" s="1">
        <v>45730</v>
      </c>
      <c r="B74">
        <v>3</v>
      </c>
      <c r="C74" t="s">
        <v>20</v>
      </c>
      <c r="D74">
        <v>1</v>
      </c>
      <c r="E74" t="s">
        <v>14</v>
      </c>
    </row>
    <row r="75" spans="1:5" x14ac:dyDescent="0.35">
      <c r="A75" s="1">
        <v>45731</v>
      </c>
      <c r="B75">
        <v>3</v>
      </c>
      <c r="C75" t="s">
        <v>20</v>
      </c>
      <c r="D75">
        <v>1</v>
      </c>
      <c r="E75" t="s">
        <v>14</v>
      </c>
    </row>
    <row r="76" spans="1:5" x14ac:dyDescent="0.35">
      <c r="A76" s="1">
        <v>45732</v>
      </c>
      <c r="B76">
        <v>3</v>
      </c>
      <c r="C76" t="s">
        <v>20</v>
      </c>
      <c r="D76">
        <v>1</v>
      </c>
      <c r="E76" t="s">
        <v>14</v>
      </c>
    </row>
    <row r="77" spans="1:5" x14ac:dyDescent="0.35">
      <c r="A77" s="1">
        <v>45733</v>
      </c>
      <c r="B77">
        <v>3</v>
      </c>
      <c r="C77" t="s">
        <v>20</v>
      </c>
      <c r="D77">
        <v>1</v>
      </c>
      <c r="E77" t="s">
        <v>14</v>
      </c>
    </row>
    <row r="78" spans="1:5" x14ac:dyDescent="0.35">
      <c r="A78" s="1">
        <v>45734</v>
      </c>
      <c r="B78">
        <v>3</v>
      </c>
      <c r="C78" t="s">
        <v>20</v>
      </c>
      <c r="D78">
        <v>1</v>
      </c>
      <c r="E78" t="s">
        <v>14</v>
      </c>
    </row>
    <row r="79" spans="1:5" x14ac:dyDescent="0.35">
      <c r="A79" s="1">
        <v>45735</v>
      </c>
      <c r="B79">
        <v>3</v>
      </c>
      <c r="C79" t="s">
        <v>20</v>
      </c>
      <c r="D79">
        <v>1</v>
      </c>
      <c r="E79" t="s">
        <v>14</v>
      </c>
    </row>
    <row r="80" spans="1:5" x14ac:dyDescent="0.35">
      <c r="A80" s="1">
        <v>45736</v>
      </c>
      <c r="B80">
        <v>3</v>
      </c>
      <c r="C80" t="s">
        <v>20</v>
      </c>
      <c r="D80">
        <v>1</v>
      </c>
      <c r="E80" t="s">
        <v>14</v>
      </c>
    </row>
    <row r="81" spans="1:5" x14ac:dyDescent="0.35">
      <c r="A81" s="1">
        <v>45737</v>
      </c>
      <c r="B81">
        <v>3</v>
      </c>
      <c r="C81" t="s">
        <v>20</v>
      </c>
      <c r="D81">
        <v>1</v>
      </c>
      <c r="E81" t="s">
        <v>14</v>
      </c>
    </row>
    <row r="82" spans="1:5" x14ac:dyDescent="0.35">
      <c r="A82" s="1">
        <v>45738</v>
      </c>
      <c r="B82">
        <v>3</v>
      </c>
      <c r="C82" t="s">
        <v>20</v>
      </c>
      <c r="D82">
        <v>1</v>
      </c>
      <c r="E82" t="s">
        <v>14</v>
      </c>
    </row>
    <row r="83" spans="1:5" x14ac:dyDescent="0.35">
      <c r="A83" s="1">
        <v>45739</v>
      </c>
      <c r="B83">
        <v>3</v>
      </c>
      <c r="C83" t="s">
        <v>20</v>
      </c>
      <c r="D83">
        <v>1</v>
      </c>
      <c r="E83" t="s">
        <v>14</v>
      </c>
    </row>
    <row r="84" spans="1:5" x14ac:dyDescent="0.35">
      <c r="A84" s="1">
        <v>45740</v>
      </c>
      <c r="B84">
        <v>3</v>
      </c>
      <c r="C84" t="s">
        <v>20</v>
      </c>
      <c r="D84">
        <v>1</v>
      </c>
      <c r="E84" t="s">
        <v>14</v>
      </c>
    </row>
    <row r="85" spans="1:5" x14ac:dyDescent="0.35">
      <c r="A85" s="1">
        <v>45741</v>
      </c>
      <c r="B85">
        <v>3</v>
      </c>
      <c r="C85" t="s">
        <v>20</v>
      </c>
      <c r="D85">
        <v>1</v>
      </c>
      <c r="E85" t="s">
        <v>14</v>
      </c>
    </row>
    <row r="86" spans="1:5" x14ac:dyDescent="0.35">
      <c r="A86" s="1">
        <v>45742</v>
      </c>
      <c r="B86">
        <v>3</v>
      </c>
      <c r="C86" t="s">
        <v>20</v>
      </c>
      <c r="D86">
        <v>1</v>
      </c>
      <c r="E86" t="s">
        <v>14</v>
      </c>
    </row>
    <row r="87" spans="1:5" x14ac:dyDescent="0.35">
      <c r="A87" s="1">
        <v>45743</v>
      </c>
      <c r="B87">
        <v>3</v>
      </c>
      <c r="C87" t="s">
        <v>20</v>
      </c>
      <c r="D87">
        <v>1</v>
      </c>
      <c r="E87" t="s">
        <v>14</v>
      </c>
    </row>
    <row r="88" spans="1:5" x14ac:dyDescent="0.35">
      <c r="A88" s="1">
        <v>45744</v>
      </c>
      <c r="B88">
        <v>3</v>
      </c>
      <c r="C88" t="s">
        <v>20</v>
      </c>
      <c r="D88">
        <v>1</v>
      </c>
      <c r="E88" t="s">
        <v>14</v>
      </c>
    </row>
    <row r="89" spans="1:5" x14ac:dyDescent="0.35">
      <c r="A89" s="1">
        <v>45745</v>
      </c>
      <c r="B89">
        <v>3</v>
      </c>
      <c r="C89" t="s">
        <v>20</v>
      </c>
      <c r="D89">
        <v>1</v>
      </c>
      <c r="E89" t="s">
        <v>14</v>
      </c>
    </row>
    <row r="90" spans="1:5" x14ac:dyDescent="0.35">
      <c r="A90" s="1">
        <v>45746</v>
      </c>
      <c r="B90">
        <v>3</v>
      </c>
      <c r="C90" t="s">
        <v>20</v>
      </c>
      <c r="D90">
        <v>1</v>
      </c>
      <c r="E90" t="s">
        <v>14</v>
      </c>
    </row>
    <row r="91" spans="1:5" x14ac:dyDescent="0.35">
      <c r="A91" s="1">
        <v>45747</v>
      </c>
      <c r="B91">
        <v>3</v>
      </c>
      <c r="C91" t="s">
        <v>20</v>
      </c>
      <c r="D91">
        <v>1</v>
      </c>
      <c r="E91" t="s">
        <v>14</v>
      </c>
    </row>
    <row r="92" spans="1:5" x14ac:dyDescent="0.35">
      <c r="A92" s="1">
        <v>45748</v>
      </c>
      <c r="B92">
        <v>4</v>
      </c>
      <c r="C92" t="s">
        <v>21</v>
      </c>
      <c r="D92">
        <v>2</v>
      </c>
      <c r="E92" t="s">
        <v>22</v>
      </c>
    </row>
    <row r="93" spans="1:5" x14ac:dyDescent="0.35">
      <c r="A93" s="1">
        <v>45749</v>
      </c>
      <c r="B93">
        <v>4</v>
      </c>
      <c r="C93" t="s">
        <v>21</v>
      </c>
      <c r="D93">
        <v>2</v>
      </c>
      <c r="E93" t="s">
        <v>22</v>
      </c>
    </row>
    <row r="94" spans="1:5" x14ac:dyDescent="0.35">
      <c r="A94" s="1">
        <v>45750</v>
      </c>
      <c r="B94">
        <v>4</v>
      </c>
      <c r="C94" t="s">
        <v>21</v>
      </c>
      <c r="D94">
        <v>2</v>
      </c>
      <c r="E94" t="s">
        <v>22</v>
      </c>
    </row>
    <row r="95" spans="1:5" x14ac:dyDescent="0.35">
      <c r="A95" s="1">
        <v>45751</v>
      </c>
      <c r="B95">
        <v>4</v>
      </c>
      <c r="C95" t="s">
        <v>21</v>
      </c>
      <c r="D95">
        <v>2</v>
      </c>
      <c r="E95" t="s">
        <v>22</v>
      </c>
    </row>
    <row r="96" spans="1:5" x14ac:dyDescent="0.35">
      <c r="A96" s="1">
        <v>45752</v>
      </c>
      <c r="B96">
        <v>4</v>
      </c>
      <c r="C96" t="s">
        <v>21</v>
      </c>
      <c r="D96">
        <v>2</v>
      </c>
      <c r="E96" t="s">
        <v>22</v>
      </c>
    </row>
    <row r="97" spans="1:5" x14ac:dyDescent="0.35">
      <c r="A97" s="1">
        <v>45753</v>
      </c>
      <c r="B97">
        <v>4</v>
      </c>
      <c r="C97" t="s">
        <v>21</v>
      </c>
      <c r="D97">
        <v>2</v>
      </c>
      <c r="E97" t="s">
        <v>22</v>
      </c>
    </row>
    <row r="98" spans="1:5" x14ac:dyDescent="0.35">
      <c r="A98" s="1">
        <v>45754</v>
      </c>
      <c r="B98">
        <v>4</v>
      </c>
      <c r="C98" t="s">
        <v>21</v>
      </c>
      <c r="D98">
        <v>2</v>
      </c>
      <c r="E98" t="s">
        <v>22</v>
      </c>
    </row>
    <row r="99" spans="1:5" x14ac:dyDescent="0.35">
      <c r="A99" s="1">
        <v>45755</v>
      </c>
      <c r="B99">
        <v>4</v>
      </c>
      <c r="C99" t="s">
        <v>21</v>
      </c>
      <c r="D99">
        <v>2</v>
      </c>
      <c r="E99" t="s">
        <v>22</v>
      </c>
    </row>
    <row r="100" spans="1:5" x14ac:dyDescent="0.35">
      <c r="A100" s="1">
        <v>45756</v>
      </c>
      <c r="B100">
        <v>4</v>
      </c>
      <c r="C100" t="s">
        <v>21</v>
      </c>
      <c r="D100">
        <v>2</v>
      </c>
      <c r="E100" t="s">
        <v>22</v>
      </c>
    </row>
    <row r="101" spans="1:5" x14ac:dyDescent="0.35">
      <c r="A101" s="1">
        <v>45757</v>
      </c>
      <c r="B101">
        <v>4</v>
      </c>
      <c r="C101" t="s">
        <v>21</v>
      </c>
      <c r="D101">
        <v>2</v>
      </c>
      <c r="E101" t="s">
        <v>22</v>
      </c>
    </row>
    <row r="102" spans="1:5" x14ac:dyDescent="0.35">
      <c r="A102" s="1">
        <v>45758</v>
      </c>
      <c r="B102">
        <v>4</v>
      </c>
      <c r="C102" t="s">
        <v>21</v>
      </c>
      <c r="D102">
        <v>2</v>
      </c>
      <c r="E102" t="s">
        <v>22</v>
      </c>
    </row>
    <row r="103" spans="1:5" x14ac:dyDescent="0.35">
      <c r="A103" s="1">
        <v>45759</v>
      </c>
      <c r="B103">
        <v>4</v>
      </c>
      <c r="C103" t="s">
        <v>21</v>
      </c>
      <c r="D103">
        <v>2</v>
      </c>
      <c r="E103" t="s">
        <v>22</v>
      </c>
    </row>
    <row r="104" spans="1:5" x14ac:dyDescent="0.35">
      <c r="A104" s="1">
        <v>45760</v>
      </c>
      <c r="B104">
        <v>4</v>
      </c>
      <c r="C104" t="s">
        <v>21</v>
      </c>
      <c r="D104">
        <v>2</v>
      </c>
      <c r="E104" t="s">
        <v>22</v>
      </c>
    </row>
    <row r="105" spans="1:5" x14ac:dyDescent="0.35">
      <c r="A105" s="1">
        <v>45761</v>
      </c>
      <c r="B105">
        <v>4</v>
      </c>
      <c r="C105" t="s">
        <v>21</v>
      </c>
      <c r="D105">
        <v>2</v>
      </c>
      <c r="E105" t="s">
        <v>22</v>
      </c>
    </row>
    <row r="106" spans="1:5" x14ac:dyDescent="0.35">
      <c r="A106" s="1">
        <v>45762</v>
      </c>
      <c r="B106">
        <v>4</v>
      </c>
      <c r="C106" t="s">
        <v>21</v>
      </c>
      <c r="D106">
        <v>2</v>
      </c>
      <c r="E106" t="s">
        <v>22</v>
      </c>
    </row>
    <row r="107" spans="1:5" x14ac:dyDescent="0.35">
      <c r="A107" s="1">
        <v>45763</v>
      </c>
      <c r="B107">
        <v>4</v>
      </c>
      <c r="C107" t="s">
        <v>21</v>
      </c>
      <c r="D107">
        <v>2</v>
      </c>
      <c r="E107" t="s">
        <v>22</v>
      </c>
    </row>
    <row r="108" spans="1:5" x14ac:dyDescent="0.35">
      <c r="A108" s="1">
        <v>45764</v>
      </c>
      <c r="B108">
        <v>4</v>
      </c>
      <c r="C108" t="s">
        <v>21</v>
      </c>
      <c r="D108">
        <v>2</v>
      </c>
      <c r="E108" t="s">
        <v>22</v>
      </c>
    </row>
    <row r="109" spans="1:5" x14ac:dyDescent="0.35">
      <c r="A109" s="1">
        <v>45765</v>
      </c>
      <c r="B109">
        <v>4</v>
      </c>
      <c r="C109" t="s">
        <v>21</v>
      </c>
      <c r="D109">
        <v>2</v>
      </c>
      <c r="E109" t="s">
        <v>22</v>
      </c>
    </row>
    <row r="110" spans="1:5" x14ac:dyDescent="0.35">
      <c r="A110" s="1">
        <v>45766</v>
      </c>
      <c r="B110">
        <v>4</v>
      </c>
      <c r="C110" t="s">
        <v>21</v>
      </c>
      <c r="D110">
        <v>2</v>
      </c>
      <c r="E110" t="s">
        <v>22</v>
      </c>
    </row>
    <row r="111" spans="1:5" x14ac:dyDescent="0.35">
      <c r="A111" s="1">
        <v>45767</v>
      </c>
      <c r="B111">
        <v>4</v>
      </c>
      <c r="C111" t="s">
        <v>21</v>
      </c>
      <c r="D111">
        <v>2</v>
      </c>
      <c r="E111" t="s">
        <v>22</v>
      </c>
    </row>
    <row r="112" spans="1:5" x14ac:dyDescent="0.35">
      <c r="A112" s="1">
        <v>45768</v>
      </c>
      <c r="B112">
        <v>4</v>
      </c>
      <c r="C112" t="s">
        <v>21</v>
      </c>
      <c r="D112">
        <v>2</v>
      </c>
      <c r="E112" t="s">
        <v>22</v>
      </c>
    </row>
    <row r="113" spans="1:5" x14ac:dyDescent="0.35">
      <c r="A113" s="1">
        <v>45769</v>
      </c>
      <c r="B113">
        <v>4</v>
      </c>
      <c r="C113" t="s">
        <v>21</v>
      </c>
      <c r="D113">
        <v>2</v>
      </c>
      <c r="E113" t="s">
        <v>22</v>
      </c>
    </row>
    <row r="114" spans="1:5" x14ac:dyDescent="0.35">
      <c r="A114" s="1">
        <v>45770</v>
      </c>
      <c r="B114">
        <v>4</v>
      </c>
      <c r="C114" t="s">
        <v>21</v>
      </c>
      <c r="D114">
        <v>2</v>
      </c>
      <c r="E114" t="s">
        <v>22</v>
      </c>
    </row>
    <row r="115" spans="1:5" x14ac:dyDescent="0.35">
      <c r="A115" s="1">
        <v>45771</v>
      </c>
      <c r="B115">
        <v>4</v>
      </c>
      <c r="C115" t="s">
        <v>21</v>
      </c>
      <c r="D115">
        <v>2</v>
      </c>
      <c r="E115" t="s">
        <v>22</v>
      </c>
    </row>
    <row r="116" spans="1:5" x14ac:dyDescent="0.35">
      <c r="A116" s="1">
        <v>45772</v>
      </c>
      <c r="B116">
        <v>4</v>
      </c>
      <c r="C116" t="s">
        <v>21</v>
      </c>
      <c r="D116">
        <v>2</v>
      </c>
      <c r="E116" t="s">
        <v>22</v>
      </c>
    </row>
    <row r="117" spans="1:5" x14ac:dyDescent="0.35">
      <c r="A117" s="1">
        <v>45773</v>
      </c>
      <c r="B117">
        <v>4</v>
      </c>
      <c r="C117" t="s">
        <v>21</v>
      </c>
      <c r="D117">
        <v>2</v>
      </c>
      <c r="E117" t="s">
        <v>22</v>
      </c>
    </row>
    <row r="118" spans="1:5" x14ac:dyDescent="0.35">
      <c r="A118" s="1">
        <v>45774</v>
      </c>
      <c r="B118">
        <v>4</v>
      </c>
      <c r="C118" t="s">
        <v>21</v>
      </c>
      <c r="D118">
        <v>2</v>
      </c>
      <c r="E118" t="s">
        <v>22</v>
      </c>
    </row>
    <row r="119" spans="1:5" x14ac:dyDescent="0.35">
      <c r="A119" s="1">
        <v>45775</v>
      </c>
      <c r="B119">
        <v>4</v>
      </c>
      <c r="C119" t="s">
        <v>21</v>
      </c>
      <c r="D119">
        <v>2</v>
      </c>
      <c r="E119" t="s">
        <v>22</v>
      </c>
    </row>
    <row r="120" spans="1:5" x14ac:dyDescent="0.35">
      <c r="A120" s="1">
        <v>45776</v>
      </c>
      <c r="B120">
        <v>4</v>
      </c>
      <c r="C120" t="s">
        <v>21</v>
      </c>
      <c r="D120">
        <v>2</v>
      </c>
      <c r="E120" t="s">
        <v>22</v>
      </c>
    </row>
    <row r="121" spans="1:5" x14ac:dyDescent="0.35">
      <c r="A121" s="1">
        <v>45777</v>
      </c>
      <c r="B121">
        <v>4</v>
      </c>
      <c r="C121" t="s">
        <v>21</v>
      </c>
      <c r="D121">
        <v>2</v>
      </c>
      <c r="E121" t="s">
        <v>22</v>
      </c>
    </row>
    <row r="122" spans="1:5" x14ac:dyDescent="0.35">
      <c r="A122" s="1">
        <v>45778</v>
      </c>
      <c r="B122">
        <v>5</v>
      </c>
      <c r="C122" t="s">
        <v>23</v>
      </c>
      <c r="D122">
        <v>2</v>
      </c>
      <c r="E122" t="s">
        <v>22</v>
      </c>
    </row>
    <row r="123" spans="1:5" x14ac:dyDescent="0.35">
      <c r="A123" s="1">
        <v>45779</v>
      </c>
      <c r="B123">
        <v>5</v>
      </c>
      <c r="C123" t="s">
        <v>23</v>
      </c>
      <c r="D123">
        <v>2</v>
      </c>
      <c r="E123" t="s">
        <v>22</v>
      </c>
    </row>
    <row r="124" spans="1:5" x14ac:dyDescent="0.35">
      <c r="A124" s="1">
        <v>45780</v>
      </c>
      <c r="B124">
        <v>5</v>
      </c>
      <c r="C124" t="s">
        <v>23</v>
      </c>
      <c r="D124">
        <v>2</v>
      </c>
      <c r="E124" t="s">
        <v>22</v>
      </c>
    </row>
    <row r="125" spans="1:5" x14ac:dyDescent="0.35">
      <c r="A125" s="1">
        <v>45781</v>
      </c>
      <c r="B125">
        <v>5</v>
      </c>
      <c r="C125" t="s">
        <v>23</v>
      </c>
      <c r="D125">
        <v>2</v>
      </c>
      <c r="E125" t="s">
        <v>22</v>
      </c>
    </row>
    <row r="126" spans="1:5" x14ac:dyDescent="0.35">
      <c r="A126" s="1">
        <v>45782</v>
      </c>
      <c r="B126">
        <v>5</v>
      </c>
      <c r="C126" t="s">
        <v>23</v>
      </c>
      <c r="D126">
        <v>2</v>
      </c>
      <c r="E126" t="s">
        <v>22</v>
      </c>
    </row>
    <row r="127" spans="1:5" x14ac:dyDescent="0.35">
      <c r="A127" s="1">
        <v>45783</v>
      </c>
      <c r="B127">
        <v>5</v>
      </c>
      <c r="C127" t="s">
        <v>23</v>
      </c>
      <c r="D127">
        <v>2</v>
      </c>
      <c r="E127" t="s">
        <v>22</v>
      </c>
    </row>
    <row r="128" spans="1:5" x14ac:dyDescent="0.35">
      <c r="A128" s="1">
        <v>45784</v>
      </c>
      <c r="B128">
        <v>5</v>
      </c>
      <c r="C128" t="s">
        <v>23</v>
      </c>
      <c r="D128">
        <v>2</v>
      </c>
      <c r="E128" t="s">
        <v>22</v>
      </c>
    </row>
    <row r="129" spans="1:5" x14ac:dyDescent="0.35">
      <c r="A129" s="1">
        <v>45785</v>
      </c>
      <c r="B129">
        <v>5</v>
      </c>
      <c r="C129" t="s">
        <v>23</v>
      </c>
      <c r="D129">
        <v>2</v>
      </c>
      <c r="E129" t="s">
        <v>22</v>
      </c>
    </row>
    <row r="130" spans="1:5" x14ac:dyDescent="0.35">
      <c r="A130" s="1">
        <v>45786</v>
      </c>
      <c r="B130">
        <v>5</v>
      </c>
      <c r="C130" t="s">
        <v>23</v>
      </c>
      <c r="D130">
        <v>2</v>
      </c>
      <c r="E130" t="s">
        <v>22</v>
      </c>
    </row>
    <row r="131" spans="1:5" x14ac:dyDescent="0.35">
      <c r="A131" s="1">
        <v>45787</v>
      </c>
      <c r="B131">
        <v>5</v>
      </c>
      <c r="C131" t="s">
        <v>23</v>
      </c>
      <c r="D131">
        <v>2</v>
      </c>
      <c r="E131" t="s">
        <v>22</v>
      </c>
    </row>
    <row r="132" spans="1:5" x14ac:dyDescent="0.35">
      <c r="A132" s="1">
        <v>45788</v>
      </c>
      <c r="B132">
        <v>5</v>
      </c>
      <c r="C132" t="s">
        <v>23</v>
      </c>
      <c r="D132">
        <v>2</v>
      </c>
      <c r="E132" t="s">
        <v>22</v>
      </c>
    </row>
    <row r="133" spans="1:5" x14ac:dyDescent="0.35">
      <c r="A133" s="1">
        <v>45789</v>
      </c>
      <c r="B133">
        <v>5</v>
      </c>
      <c r="C133" t="s">
        <v>23</v>
      </c>
      <c r="D133">
        <v>2</v>
      </c>
      <c r="E133" t="s">
        <v>22</v>
      </c>
    </row>
    <row r="134" spans="1:5" x14ac:dyDescent="0.35">
      <c r="A134" s="1">
        <v>45790</v>
      </c>
      <c r="B134">
        <v>5</v>
      </c>
      <c r="C134" t="s">
        <v>23</v>
      </c>
      <c r="D134">
        <v>2</v>
      </c>
      <c r="E134" t="s">
        <v>22</v>
      </c>
    </row>
    <row r="135" spans="1:5" x14ac:dyDescent="0.35">
      <c r="A135" s="1">
        <v>45791</v>
      </c>
      <c r="B135">
        <v>5</v>
      </c>
      <c r="C135" t="s">
        <v>23</v>
      </c>
      <c r="D135">
        <v>2</v>
      </c>
      <c r="E135" t="s">
        <v>22</v>
      </c>
    </row>
    <row r="136" spans="1:5" x14ac:dyDescent="0.35">
      <c r="A136" s="1">
        <v>45792</v>
      </c>
      <c r="B136">
        <v>5</v>
      </c>
      <c r="C136" t="s">
        <v>23</v>
      </c>
      <c r="D136">
        <v>2</v>
      </c>
      <c r="E136" t="s">
        <v>22</v>
      </c>
    </row>
    <row r="137" spans="1:5" x14ac:dyDescent="0.35">
      <c r="A137" s="1">
        <v>45793</v>
      </c>
      <c r="B137">
        <v>5</v>
      </c>
      <c r="C137" t="s">
        <v>23</v>
      </c>
      <c r="D137">
        <v>2</v>
      </c>
      <c r="E137" t="s">
        <v>22</v>
      </c>
    </row>
    <row r="138" spans="1:5" x14ac:dyDescent="0.35">
      <c r="A138" s="1">
        <v>45794</v>
      </c>
      <c r="B138">
        <v>5</v>
      </c>
      <c r="C138" t="s">
        <v>23</v>
      </c>
      <c r="D138">
        <v>2</v>
      </c>
      <c r="E138" t="s">
        <v>22</v>
      </c>
    </row>
    <row r="139" spans="1:5" x14ac:dyDescent="0.35">
      <c r="A139" s="1">
        <v>45795</v>
      </c>
      <c r="B139">
        <v>5</v>
      </c>
      <c r="C139" t="s">
        <v>23</v>
      </c>
      <c r="D139">
        <v>2</v>
      </c>
      <c r="E139" t="s">
        <v>22</v>
      </c>
    </row>
    <row r="140" spans="1:5" x14ac:dyDescent="0.35">
      <c r="A140" s="1">
        <v>45796</v>
      </c>
      <c r="B140">
        <v>5</v>
      </c>
      <c r="C140" t="s">
        <v>23</v>
      </c>
      <c r="D140">
        <v>2</v>
      </c>
      <c r="E140" t="s">
        <v>22</v>
      </c>
    </row>
    <row r="141" spans="1:5" x14ac:dyDescent="0.35">
      <c r="A141" s="1">
        <v>45797</v>
      </c>
      <c r="B141">
        <v>5</v>
      </c>
      <c r="C141" t="s">
        <v>23</v>
      </c>
      <c r="D141">
        <v>2</v>
      </c>
      <c r="E141" t="s">
        <v>22</v>
      </c>
    </row>
    <row r="142" spans="1:5" x14ac:dyDescent="0.35">
      <c r="A142" s="1">
        <v>45798</v>
      </c>
      <c r="B142">
        <v>5</v>
      </c>
      <c r="C142" t="s">
        <v>23</v>
      </c>
      <c r="D142">
        <v>2</v>
      </c>
      <c r="E142" t="s">
        <v>22</v>
      </c>
    </row>
    <row r="143" spans="1:5" x14ac:dyDescent="0.35">
      <c r="A143" s="1">
        <v>45799</v>
      </c>
      <c r="B143">
        <v>5</v>
      </c>
      <c r="C143" t="s">
        <v>23</v>
      </c>
      <c r="D143">
        <v>2</v>
      </c>
      <c r="E143" t="s">
        <v>22</v>
      </c>
    </row>
    <row r="144" spans="1:5" x14ac:dyDescent="0.35">
      <c r="A144" s="1">
        <v>45800</v>
      </c>
      <c r="B144">
        <v>5</v>
      </c>
      <c r="C144" t="s">
        <v>23</v>
      </c>
      <c r="D144">
        <v>2</v>
      </c>
      <c r="E144" t="s">
        <v>22</v>
      </c>
    </row>
    <row r="145" spans="1:5" x14ac:dyDescent="0.35">
      <c r="A145" s="1">
        <v>45801</v>
      </c>
      <c r="B145">
        <v>5</v>
      </c>
      <c r="C145" t="s">
        <v>23</v>
      </c>
      <c r="D145">
        <v>2</v>
      </c>
      <c r="E145" t="s">
        <v>22</v>
      </c>
    </row>
    <row r="146" spans="1:5" x14ac:dyDescent="0.35">
      <c r="A146" s="1">
        <v>45802</v>
      </c>
      <c r="B146">
        <v>5</v>
      </c>
      <c r="C146" t="s">
        <v>23</v>
      </c>
      <c r="D146">
        <v>2</v>
      </c>
      <c r="E146" t="s">
        <v>22</v>
      </c>
    </row>
    <row r="147" spans="1:5" x14ac:dyDescent="0.35">
      <c r="A147" s="1">
        <v>45803</v>
      </c>
      <c r="B147">
        <v>5</v>
      </c>
      <c r="C147" t="s">
        <v>23</v>
      </c>
      <c r="D147">
        <v>2</v>
      </c>
      <c r="E147" t="s">
        <v>22</v>
      </c>
    </row>
    <row r="148" spans="1:5" x14ac:dyDescent="0.35">
      <c r="A148" s="1">
        <v>45804</v>
      </c>
      <c r="B148">
        <v>5</v>
      </c>
      <c r="C148" t="s">
        <v>23</v>
      </c>
      <c r="D148">
        <v>2</v>
      </c>
      <c r="E148" t="s">
        <v>22</v>
      </c>
    </row>
    <row r="149" spans="1:5" x14ac:dyDescent="0.35">
      <c r="A149" s="1">
        <v>45805</v>
      </c>
      <c r="B149">
        <v>5</v>
      </c>
      <c r="C149" t="s">
        <v>23</v>
      </c>
      <c r="D149">
        <v>2</v>
      </c>
      <c r="E149" t="s">
        <v>22</v>
      </c>
    </row>
    <row r="150" spans="1:5" x14ac:dyDescent="0.35">
      <c r="A150" s="1">
        <v>45806</v>
      </c>
      <c r="B150">
        <v>5</v>
      </c>
      <c r="C150" t="s">
        <v>23</v>
      </c>
      <c r="D150">
        <v>2</v>
      </c>
      <c r="E150" t="s">
        <v>22</v>
      </c>
    </row>
    <row r="151" spans="1:5" x14ac:dyDescent="0.35">
      <c r="A151" s="1">
        <v>45807</v>
      </c>
      <c r="B151">
        <v>5</v>
      </c>
      <c r="C151" t="s">
        <v>23</v>
      </c>
      <c r="D151">
        <v>2</v>
      </c>
      <c r="E151" t="s">
        <v>22</v>
      </c>
    </row>
    <row r="152" spans="1:5" x14ac:dyDescent="0.35">
      <c r="A152" s="1">
        <v>45808</v>
      </c>
      <c r="B152">
        <v>5</v>
      </c>
      <c r="C152" t="s">
        <v>23</v>
      </c>
      <c r="D152">
        <v>2</v>
      </c>
      <c r="E152" t="s">
        <v>22</v>
      </c>
    </row>
    <row r="153" spans="1:5" x14ac:dyDescent="0.35">
      <c r="A153" s="1">
        <v>45809</v>
      </c>
      <c r="B153">
        <v>6</v>
      </c>
      <c r="C153" t="s">
        <v>24</v>
      </c>
      <c r="D153">
        <v>2</v>
      </c>
      <c r="E153" t="s">
        <v>22</v>
      </c>
    </row>
    <row r="154" spans="1:5" x14ac:dyDescent="0.35">
      <c r="A154" s="1">
        <v>45810</v>
      </c>
      <c r="B154">
        <v>6</v>
      </c>
      <c r="C154" t="s">
        <v>24</v>
      </c>
      <c r="D154">
        <v>2</v>
      </c>
      <c r="E154" t="s">
        <v>22</v>
      </c>
    </row>
    <row r="155" spans="1:5" x14ac:dyDescent="0.35">
      <c r="A155" s="1">
        <v>45811</v>
      </c>
      <c r="B155">
        <v>6</v>
      </c>
      <c r="C155" t="s">
        <v>24</v>
      </c>
      <c r="D155">
        <v>2</v>
      </c>
      <c r="E155" t="s">
        <v>22</v>
      </c>
    </row>
    <row r="156" spans="1:5" x14ac:dyDescent="0.35">
      <c r="A156" s="1">
        <v>45812</v>
      </c>
      <c r="B156">
        <v>6</v>
      </c>
      <c r="C156" t="s">
        <v>24</v>
      </c>
      <c r="D156">
        <v>2</v>
      </c>
      <c r="E156" t="s">
        <v>22</v>
      </c>
    </row>
    <row r="157" spans="1:5" x14ac:dyDescent="0.35">
      <c r="A157" s="1">
        <v>45813</v>
      </c>
      <c r="B157">
        <v>6</v>
      </c>
      <c r="C157" t="s">
        <v>24</v>
      </c>
      <c r="D157">
        <v>2</v>
      </c>
      <c r="E157" t="s">
        <v>22</v>
      </c>
    </row>
    <row r="158" spans="1:5" x14ac:dyDescent="0.35">
      <c r="A158" s="1">
        <v>45814</v>
      </c>
      <c r="B158">
        <v>6</v>
      </c>
      <c r="C158" t="s">
        <v>24</v>
      </c>
      <c r="D158">
        <v>2</v>
      </c>
      <c r="E158" t="s">
        <v>22</v>
      </c>
    </row>
    <row r="159" spans="1:5" x14ac:dyDescent="0.35">
      <c r="A159" s="1">
        <v>45815</v>
      </c>
      <c r="B159">
        <v>6</v>
      </c>
      <c r="C159" t="s">
        <v>24</v>
      </c>
      <c r="D159">
        <v>2</v>
      </c>
      <c r="E159" t="s">
        <v>22</v>
      </c>
    </row>
    <row r="160" spans="1:5" x14ac:dyDescent="0.35">
      <c r="A160" s="1">
        <v>45816</v>
      </c>
      <c r="B160">
        <v>6</v>
      </c>
      <c r="C160" t="s">
        <v>24</v>
      </c>
      <c r="D160">
        <v>2</v>
      </c>
      <c r="E160" t="s">
        <v>22</v>
      </c>
    </row>
    <row r="161" spans="1:5" x14ac:dyDescent="0.35">
      <c r="A161" s="1">
        <v>45817</v>
      </c>
      <c r="B161">
        <v>6</v>
      </c>
      <c r="C161" t="s">
        <v>24</v>
      </c>
      <c r="D161">
        <v>2</v>
      </c>
      <c r="E161" t="s">
        <v>22</v>
      </c>
    </row>
    <row r="162" spans="1:5" x14ac:dyDescent="0.35">
      <c r="A162" s="1">
        <v>45818</v>
      </c>
      <c r="B162">
        <v>6</v>
      </c>
      <c r="C162" t="s">
        <v>24</v>
      </c>
      <c r="D162">
        <v>2</v>
      </c>
      <c r="E162" t="s">
        <v>22</v>
      </c>
    </row>
    <row r="163" spans="1:5" x14ac:dyDescent="0.35">
      <c r="A163" s="1">
        <v>45819</v>
      </c>
      <c r="B163">
        <v>6</v>
      </c>
      <c r="C163" t="s">
        <v>24</v>
      </c>
      <c r="D163">
        <v>2</v>
      </c>
      <c r="E163" t="s">
        <v>22</v>
      </c>
    </row>
    <row r="164" spans="1:5" x14ac:dyDescent="0.35">
      <c r="A164" s="1">
        <v>45820</v>
      </c>
      <c r="B164">
        <v>6</v>
      </c>
      <c r="C164" t="s">
        <v>24</v>
      </c>
      <c r="D164">
        <v>2</v>
      </c>
      <c r="E164" t="s">
        <v>22</v>
      </c>
    </row>
    <row r="165" spans="1:5" x14ac:dyDescent="0.35">
      <c r="A165" s="1">
        <v>45821</v>
      </c>
      <c r="B165">
        <v>6</v>
      </c>
      <c r="C165" t="s">
        <v>24</v>
      </c>
      <c r="D165">
        <v>2</v>
      </c>
      <c r="E165" t="s">
        <v>22</v>
      </c>
    </row>
    <row r="166" spans="1:5" x14ac:dyDescent="0.35">
      <c r="A166" s="1">
        <v>45822</v>
      </c>
      <c r="B166">
        <v>6</v>
      </c>
      <c r="C166" t="s">
        <v>24</v>
      </c>
      <c r="D166">
        <v>2</v>
      </c>
      <c r="E166" t="s">
        <v>22</v>
      </c>
    </row>
    <row r="167" spans="1:5" x14ac:dyDescent="0.35">
      <c r="A167" s="1">
        <v>45823</v>
      </c>
      <c r="B167">
        <v>6</v>
      </c>
      <c r="C167" t="s">
        <v>24</v>
      </c>
      <c r="D167">
        <v>2</v>
      </c>
      <c r="E167" t="s">
        <v>22</v>
      </c>
    </row>
    <row r="168" spans="1:5" x14ac:dyDescent="0.35">
      <c r="A168" s="1">
        <v>45824</v>
      </c>
      <c r="B168">
        <v>6</v>
      </c>
      <c r="C168" t="s">
        <v>24</v>
      </c>
      <c r="D168">
        <v>2</v>
      </c>
      <c r="E168" t="s">
        <v>22</v>
      </c>
    </row>
    <row r="169" spans="1:5" x14ac:dyDescent="0.35">
      <c r="A169" s="1">
        <v>45825</v>
      </c>
      <c r="B169">
        <v>6</v>
      </c>
      <c r="C169" t="s">
        <v>24</v>
      </c>
      <c r="D169">
        <v>2</v>
      </c>
      <c r="E169" t="s">
        <v>22</v>
      </c>
    </row>
    <row r="170" spans="1:5" x14ac:dyDescent="0.35">
      <c r="A170" s="1">
        <v>45826</v>
      </c>
      <c r="B170">
        <v>6</v>
      </c>
      <c r="C170" t="s">
        <v>24</v>
      </c>
      <c r="D170">
        <v>2</v>
      </c>
      <c r="E170" t="s">
        <v>22</v>
      </c>
    </row>
    <row r="171" spans="1:5" x14ac:dyDescent="0.35">
      <c r="A171" s="1">
        <v>45827</v>
      </c>
      <c r="B171">
        <v>6</v>
      </c>
      <c r="C171" t="s">
        <v>24</v>
      </c>
      <c r="D171">
        <v>2</v>
      </c>
      <c r="E171" t="s">
        <v>22</v>
      </c>
    </row>
    <row r="172" spans="1:5" x14ac:dyDescent="0.35">
      <c r="A172" s="1">
        <v>45828</v>
      </c>
      <c r="B172">
        <v>6</v>
      </c>
      <c r="C172" t="s">
        <v>24</v>
      </c>
      <c r="D172">
        <v>2</v>
      </c>
      <c r="E172" t="s">
        <v>22</v>
      </c>
    </row>
    <row r="173" spans="1:5" x14ac:dyDescent="0.35">
      <c r="A173" s="1">
        <v>45829</v>
      </c>
      <c r="B173">
        <v>6</v>
      </c>
      <c r="C173" t="s">
        <v>24</v>
      </c>
      <c r="D173">
        <v>2</v>
      </c>
      <c r="E173" t="s">
        <v>22</v>
      </c>
    </row>
    <row r="174" spans="1:5" x14ac:dyDescent="0.35">
      <c r="A174" s="1">
        <v>45830</v>
      </c>
      <c r="B174">
        <v>6</v>
      </c>
      <c r="C174" t="s">
        <v>24</v>
      </c>
      <c r="D174">
        <v>2</v>
      </c>
      <c r="E174" t="s">
        <v>22</v>
      </c>
    </row>
    <row r="175" spans="1:5" x14ac:dyDescent="0.35">
      <c r="A175" s="1">
        <v>45831</v>
      </c>
      <c r="B175">
        <v>6</v>
      </c>
      <c r="C175" t="s">
        <v>24</v>
      </c>
      <c r="D175">
        <v>2</v>
      </c>
      <c r="E175" t="s">
        <v>22</v>
      </c>
    </row>
    <row r="176" spans="1:5" x14ac:dyDescent="0.35">
      <c r="A176" s="1">
        <v>45832</v>
      </c>
      <c r="B176">
        <v>6</v>
      </c>
      <c r="C176" t="s">
        <v>24</v>
      </c>
      <c r="D176">
        <v>2</v>
      </c>
      <c r="E176" t="s">
        <v>22</v>
      </c>
    </row>
    <row r="177" spans="1:5" x14ac:dyDescent="0.35">
      <c r="A177" s="1">
        <v>45833</v>
      </c>
      <c r="B177">
        <v>6</v>
      </c>
      <c r="C177" t="s">
        <v>24</v>
      </c>
      <c r="D177">
        <v>2</v>
      </c>
      <c r="E177" t="s">
        <v>22</v>
      </c>
    </row>
    <row r="178" spans="1:5" x14ac:dyDescent="0.35">
      <c r="A178" s="1">
        <v>45834</v>
      </c>
      <c r="B178">
        <v>6</v>
      </c>
      <c r="C178" t="s">
        <v>24</v>
      </c>
      <c r="D178">
        <v>2</v>
      </c>
      <c r="E178" t="s">
        <v>22</v>
      </c>
    </row>
    <row r="179" spans="1:5" x14ac:dyDescent="0.35">
      <c r="A179" s="1">
        <v>45835</v>
      </c>
      <c r="B179">
        <v>6</v>
      </c>
      <c r="C179" t="s">
        <v>24</v>
      </c>
      <c r="D179">
        <v>2</v>
      </c>
      <c r="E179" t="s">
        <v>22</v>
      </c>
    </row>
    <row r="180" spans="1:5" x14ac:dyDescent="0.35">
      <c r="A180" s="1">
        <v>45836</v>
      </c>
      <c r="B180">
        <v>6</v>
      </c>
      <c r="C180" t="s">
        <v>24</v>
      </c>
      <c r="D180">
        <v>2</v>
      </c>
      <c r="E180" t="s">
        <v>22</v>
      </c>
    </row>
    <row r="181" spans="1:5" x14ac:dyDescent="0.35">
      <c r="A181" s="1">
        <v>45837</v>
      </c>
      <c r="B181">
        <v>6</v>
      </c>
      <c r="C181" t="s">
        <v>24</v>
      </c>
      <c r="D181">
        <v>2</v>
      </c>
      <c r="E181" t="s">
        <v>22</v>
      </c>
    </row>
    <row r="182" spans="1:5" x14ac:dyDescent="0.35">
      <c r="A182" s="1">
        <v>45838</v>
      </c>
      <c r="B182">
        <v>6</v>
      </c>
      <c r="C182" t="s">
        <v>24</v>
      </c>
      <c r="D182">
        <v>2</v>
      </c>
      <c r="E182" t="s">
        <v>22</v>
      </c>
    </row>
    <row r="183" spans="1:5" x14ac:dyDescent="0.35">
      <c r="A183" s="1">
        <v>45839</v>
      </c>
      <c r="B183">
        <v>7</v>
      </c>
      <c r="C183" t="s">
        <v>25</v>
      </c>
      <c r="D183">
        <v>3</v>
      </c>
      <c r="E183" t="s">
        <v>26</v>
      </c>
    </row>
    <row r="184" spans="1:5" x14ac:dyDescent="0.35">
      <c r="A184" s="1">
        <v>45840</v>
      </c>
      <c r="B184">
        <v>7</v>
      </c>
      <c r="C184" t="s">
        <v>25</v>
      </c>
      <c r="D184">
        <v>3</v>
      </c>
      <c r="E184" t="s">
        <v>26</v>
      </c>
    </row>
    <row r="185" spans="1:5" x14ac:dyDescent="0.35">
      <c r="A185" s="1">
        <v>45841</v>
      </c>
      <c r="B185">
        <v>7</v>
      </c>
      <c r="C185" t="s">
        <v>25</v>
      </c>
      <c r="D185">
        <v>3</v>
      </c>
      <c r="E185" t="s">
        <v>26</v>
      </c>
    </row>
    <row r="186" spans="1:5" x14ac:dyDescent="0.35">
      <c r="A186" s="1">
        <v>45842</v>
      </c>
      <c r="B186">
        <v>7</v>
      </c>
      <c r="C186" t="s">
        <v>25</v>
      </c>
      <c r="D186">
        <v>3</v>
      </c>
      <c r="E186" t="s">
        <v>26</v>
      </c>
    </row>
    <row r="187" spans="1:5" x14ac:dyDescent="0.35">
      <c r="A187" s="1">
        <v>45843</v>
      </c>
      <c r="B187">
        <v>7</v>
      </c>
      <c r="C187" t="s">
        <v>25</v>
      </c>
      <c r="D187">
        <v>3</v>
      </c>
      <c r="E187" t="s">
        <v>26</v>
      </c>
    </row>
    <row r="188" spans="1:5" x14ac:dyDescent="0.35">
      <c r="A188" s="1">
        <v>45844</v>
      </c>
      <c r="B188">
        <v>7</v>
      </c>
      <c r="C188" t="s">
        <v>25</v>
      </c>
      <c r="D188">
        <v>3</v>
      </c>
      <c r="E188" t="s">
        <v>26</v>
      </c>
    </row>
    <row r="189" spans="1:5" x14ac:dyDescent="0.35">
      <c r="A189" s="1">
        <v>45845</v>
      </c>
      <c r="B189">
        <v>7</v>
      </c>
      <c r="C189" t="s">
        <v>25</v>
      </c>
      <c r="D189">
        <v>3</v>
      </c>
      <c r="E189" t="s">
        <v>26</v>
      </c>
    </row>
    <row r="190" spans="1:5" x14ac:dyDescent="0.35">
      <c r="A190" s="1">
        <v>45846</v>
      </c>
      <c r="B190">
        <v>7</v>
      </c>
      <c r="C190" t="s">
        <v>25</v>
      </c>
      <c r="D190">
        <v>3</v>
      </c>
      <c r="E190" t="s">
        <v>26</v>
      </c>
    </row>
    <row r="191" spans="1:5" x14ac:dyDescent="0.35">
      <c r="A191" s="1">
        <v>45847</v>
      </c>
      <c r="B191">
        <v>7</v>
      </c>
      <c r="C191" t="s">
        <v>25</v>
      </c>
      <c r="D191">
        <v>3</v>
      </c>
      <c r="E191" t="s">
        <v>26</v>
      </c>
    </row>
    <row r="192" spans="1:5" x14ac:dyDescent="0.35">
      <c r="A192" s="1">
        <v>45848</v>
      </c>
      <c r="B192">
        <v>7</v>
      </c>
      <c r="C192" t="s">
        <v>25</v>
      </c>
      <c r="D192">
        <v>3</v>
      </c>
      <c r="E192" t="s">
        <v>26</v>
      </c>
    </row>
    <row r="193" spans="1:5" x14ac:dyDescent="0.35">
      <c r="A193" s="1">
        <v>45849</v>
      </c>
      <c r="B193">
        <v>7</v>
      </c>
      <c r="C193" t="s">
        <v>25</v>
      </c>
      <c r="D193">
        <v>3</v>
      </c>
      <c r="E193" t="s">
        <v>26</v>
      </c>
    </row>
    <row r="194" spans="1:5" x14ac:dyDescent="0.35">
      <c r="A194" s="1">
        <v>45850</v>
      </c>
      <c r="B194">
        <v>7</v>
      </c>
      <c r="C194" t="s">
        <v>25</v>
      </c>
      <c r="D194">
        <v>3</v>
      </c>
      <c r="E194" t="s">
        <v>26</v>
      </c>
    </row>
    <row r="195" spans="1:5" x14ac:dyDescent="0.35">
      <c r="A195" s="1">
        <v>45851</v>
      </c>
      <c r="B195">
        <v>7</v>
      </c>
      <c r="C195" t="s">
        <v>25</v>
      </c>
      <c r="D195">
        <v>3</v>
      </c>
      <c r="E195" t="s">
        <v>26</v>
      </c>
    </row>
    <row r="196" spans="1:5" x14ac:dyDescent="0.35">
      <c r="A196" s="1">
        <v>45852</v>
      </c>
      <c r="B196">
        <v>7</v>
      </c>
      <c r="C196" t="s">
        <v>25</v>
      </c>
      <c r="D196">
        <v>3</v>
      </c>
      <c r="E196" t="s">
        <v>26</v>
      </c>
    </row>
    <row r="197" spans="1:5" x14ac:dyDescent="0.35">
      <c r="A197" s="1">
        <v>45853</v>
      </c>
      <c r="B197">
        <v>7</v>
      </c>
      <c r="C197" t="s">
        <v>25</v>
      </c>
      <c r="D197">
        <v>3</v>
      </c>
      <c r="E197" t="s">
        <v>26</v>
      </c>
    </row>
    <row r="198" spans="1:5" x14ac:dyDescent="0.35">
      <c r="A198" s="1">
        <v>45854</v>
      </c>
      <c r="B198">
        <v>7</v>
      </c>
      <c r="C198" t="s">
        <v>25</v>
      </c>
      <c r="D198">
        <v>3</v>
      </c>
      <c r="E198" t="s">
        <v>26</v>
      </c>
    </row>
    <row r="199" spans="1:5" x14ac:dyDescent="0.35">
      <c r="A199" s="1">
        <v>45855</v>
      </c>
      <c r="B199">
        <v>7</v>
      </c>
      <c r="C199" t="s">
        <v>25</v>
      </c>
      <c r="D199">
        <v>3</v>
      </c>
      <c r="E199" t="s">
        <v>26</v>
      </c>
    </row>
    <row r="200" spans="1:5" x14ac:dyDescent="0.35">
      <c r="A200" s="1">
        <v>45856</v>
      </c>
      <c r="B200">
        <v>7</v>
      </c>
      <c r="C200" t="s">
        <v>25</v>
      </c>
      <c r="D200">
        <v>3</v>
      </c>
      <c r="E200" t="s">
        <v>26</v>
      </c>
    </row>
    <row r="201" spans="1:5" x14ac:dyDescent="0.35">
      <c r="A201" s="1">
        <v>45857</v>
      </c>
      <c r="B201">
        <v>7</v>
      </c>
      <c r="C201" t="s">
        <v>25</v>
      </c>
      <c r="D201">
        <v>3</v>
      </c>
      <c r="E201" t="s">
        <v>26</v>
      </c>
    </row>
    <row r="202" spans="1:5" x14ac:dyDescent="0.35">
      <c r="A202" s="1">
        <v>45858</v>
      </c>
      <c r="B202">
        <v>7</v>
      </c>
      <c r="C202" t="s">
        <v>25</v>
      </c>
      <c r="D202">
        <v>3</v>
      </c>
      <c r="E202" t="s">
        <v>26</v>
      </c>
    </row>
    <row r="203" spans="1:5" x14ac:dyDescent="0.35">
      <c r="A203" s="1">
        <v>45859</v>
      </c>
      <c r="B203">
        <v>7</v>
      </c>
      <c r="C203" t="s">
        <v>25</v>
      </c>
      <c r="D203">
        <v>3</v>
      </c>
      <c r="E203" t="s">
        <v>26</v>
      </c>
    </row>
    <row r="204" spans="1:5" x14ac:dyDescent="0.35">
      <c r="A204" s="1">
        <v>45860</v>
      </c>
      <c r="B204">
        <v>7</v>
      </c>
      <c r="C204" t="s">
        <v>25</v>
      </c>
      <c r="D204">
        <v>3</v>
      </c>
      <c r="E204" t="s">
        <v>26</v>
      </c>
    </row>
    <row r="205" spans="1:5" x14ac:dyDescent="0.35">
      <c r="A205" s="1">
        <v>45861</v>
      </c>
      <c r="B205">
        <v>7</v>
      </c>
      <c r="C205" t="s">
        <v>25</v>
      </c>
      <c r="D205">
        <v>3</v>
      </c>
      <c r="E205" t="s">
        <v>26</v>
      </c>
    </row>
    <row r="206" spans="1:5" x14ac:dyDescent="0.35">
      <c r="A206" s="1">
        <v>45862</v>
      </c>
      <c r="B206">
        <v>7</v>
      </c>
      <c r="C206" t="s">
        <v>25</v>
      </c>
      <c r="D206">
        <v>3</v>
      </c>
      <c r="E206" t="s">
        <v>26</v>
      </c>
    </row>
    <row r="207" spans="1:5" x14ac:dyDescent="0.35">
      <c r="A207" s="1">
        <v>45863</v>
      </c>
      <c r="B207">
        <v>7</v>
      </c>
      <c r="C207" t="s">
        <v>25</v>
      </c>
      <c r="D207">
        <v>3</v>
      </c>
      <c r="E207" t="s">
        <v>26</v>
      </c>
    </row>
    <row r="208" spans="1:5" x14ac:dyDescent="0.35">
      <c r="A208" s="1">
        <v>45864</v>
      </c>
      <c r="B208">
        <v>7</v>
      </c>
      <c r="C208" t="s">
        <v>25</v>
      </c>
      <c r="D208">
        <v>3</v>
      </c>
      <c r="E208" t="s">
        <v>26</v>
      </c>
    </row>
    <row r="209" spans="1:5" x14ac:dyDescent="0.35">
      <c r="A209" s="1">
        <v>45865</v>
      </c>
      <c r="B209">
        <v>7</v>
      </c>
      <c r="C209" t="s">
        <v>25</v>
      </c>
      <c r="D209">
        <v>3</v>
      </c>
      <c r="E209" t="s">
        <v>26</v>
      </c>
    </row>
    <row r="210" spans="1:5" x14ac:dyDescent="0.35">
      <c r="A210" s="1">
        <v>45866</v>
      </c>
      <c r="B210">
        <v>7</v>
      </c>
      <c r="C210" t="s">
        <v>25</v>
      </c>
      <c r="D210">
        <v>3</v>
      </c>
      <c r="E210" t="s">
        <v>26</v>
      </c>
    </row>
    <row r="211" spans="1:5" x14ac:dyDescent="0.35">
      <c r="A211" s="1">
        <v>45867</v>
      </c>
      <c r="B211">
        <v>7</v>
      </c>
      <c r="C211" t="s">
        <v>25</v>
      </c>
      <c r="D211">
        <v>3</v>
      </c>
      <c r="E211" t="s">
        <v>26</v>
      </c>
    </row>
    <row r="212" spans="1:5" x14ac:dyDescent="0.35">
      <c r="A212" s="1">
        <v>45868</v>
      </c>
      <c r="B212">
        <v>7</v>
      </c>
      <c r="C212" t="s">
        <v>25</v>
      </c>
      <c r="D212">
        <v>3</v>
      </c>
      <c r="E212" t="s">
        <v>26</v>
      </c>
    </row>
    <row r="213" spans="1:5" x14ac:dyDescent="0.35">
      <c r="A213" s="1">
        <v>45869</v>
      </c>
      <c r="B213">
        <v>7</v>
      </c>
      <c r="C213" t="s">
        <v>25</v>
      </c>
      <c r="D213">
        <v>3</v>
      </c>
      <c r="E213" t="s">
        <v>26</v>
      </c>
    </row>
    <row r="214" spans="1:5" x14ac:dyDescent="0.35">
      <c r="A214" s="1">
        <v>45870</v>
      </c>
      <c r="B214">
        <v>8</v>
      </c>
      <c r="C214" t="s">
        <v>27</v>
      </c>
      <c r="D214">
        <v>3</v>
      </c>
      <c r="E214" t="s">
        <v>26</v>
      </c>
    </row>
    <row r="215" spans="1:5" x14ac:dyDescent="0.35">
      <c r="A215" s="1">
        <v>45871</v>
      </c>
      <c r="B215">
        <v>8</v>
      </c>
      <c r="C215" t="s">
        <v>27</v>
      </c>
      <c r="D215">
        <v>3</v>
      </c>
      <c r="E215" t="s">
        <v>26</v>
      </c>
    </row>
    <row r="216" spans="1:5" x14ac:dyDescent="0.35">
      <c r="A216" s="1">
        <v>45872</v>
      </c>
      <c r="B216">
        <v>8</v>
      </c>
      <c r="C216" t="s">
        <v>27</v>
      </c>
      <c r="D216">
        <v>3</v>
      </c>
      <c r="E216" t="s">
        <v>26</v>
      </c>
    </row>
    <row r="217" spans="1:5" x14ac:dyDescent="0.35">
      <c r="A217" s="1">
        <v>45873</v>
      </c>
      <c r="B217">
        <v>8</v>
      </c>
      <c r="C217" t="s">
        <v>27</v>
      </c>
      <c r="D217">
        <v>3</v>
      </c>
      <c r="E217" t="s">
        <v>26</v>
      </c>
    </row>
    <row r="218" spans="1:5" x14ac:dyDescent="0.35">
      <c r="A218" s="1">
        <v>45874</v>
      </c>
      <c r="B218">
        <v>8</v>
      </c>
      <c r="C218" t="s">
        <v>27</v>
      </c>
      <c r="D218">
        <v>3</v>
      </c>
      <c r="E218" t="s">
        <v>26</v>
      </c>
    </row>
    <row r="219" spans="1:5" x14ac:dyDescent="0.35">
      <c r="A219" s="1">
        <v>45875</v>
      </c>
      <c r="B219">
        <v>8</v>
      </c>
      <c r="C219" t="s">
        <v>27</v>
      </c>
      <c r="D219">
        <v>3</v>
      </c>
      <c r="E219" t="s">
        <v>26</v>
      </c>
    </row>
    <row r="220" spans="1:5" x14ac:dyDescent="0.35">
      <c r="A220" s="1">
        <v>45876</v>
      </c>
      <c r="B220">
        <v>8</v>
      </c>
      <c r="C220" t="s">
        <v>27</v>
      </c>
      <c r="D220">
        <v>3</v>
      </c>
      <c r="E220" t="s">
        <v>26</v>
      </c>
    </row>
    <row r="221" spans="1:5" x14ac:dyDescent="0.35">
      <c r="A221" s="1">
        <v>45877</v>
      </c>
      <c r="B221">
        <v>8</v>
      </c>
      <c r="C221" t="s">
        <v>27</v>
      </c>
      <c r="D221">
        <v>3</v>
      </c>
      <c r="E221" t="s">
        <v>26</v>
      </c>
    </row>
    <row r="222" spans="1:5" x14ac:dyDescent="0.35">
      <c r="A222" s="1">
        <v>45878</v>
      </c>
      <c r="B222">
        <v>8</v>
      </c>
      <c r="C222" t="s">
        <v>27</v>
      </c>
      <c r="D222">
        <v>3</v>
      </c>
      <c r="E222" t="s">
        <v>26</v>
      </c>
    </row>
    <row r="223" spans="1:5" x14ac:dyDescent="0.35">
      <c r="A223" s="1">
        <v>45879</v>
      </c>
      <c r="B223">
        <v>8</v>
      </c>
      <c r="C223" t="s">
        <v>27</v>
      </c>
      <c r="D223">
        <v>3</v>
      </c>
      <c r="E223" t="s">
        <v>26</v>
      </c>
    </row>
    <row r="224" spans="1:5" x14ac:dyDescent="0.35">
      <c r="A224" s="1">
        <v>45880</v>
      </c>
      <c r="B224">
        <v>8</v>
      </c>
      <c r="C224" t="s">
        <v>27</v>
      </c>
      <c r="D224">
        <v>3</v>
      </c>
      <c r="E224" t="s">
        <v>26</v>
      </c>
    </row>
    <row r="225" spans="1:5" x14ac:dyDescent="0.35">
      <c r="A225" s="1">
        <v>45881</v>
      </c>
      <c r="B225">
        <v>8</v>
      </c>
      <c r="C225" t="s">
        <v>27</v>
      </c>
      <c r="D225">
        <v>3</v>
      </c>
      <c r="E225" t="s">
        <v>26</v>
      </c>
    </row>
    <row r="226" spans="1:5" x14ac:dyDescent="0.35">
      <c r="A226" s="1">
        <v>45882</v>
      </c>
      <c r="B226">
        <v>8</v>
      </c>
      <c r="C226" t="s">
        <v>27</v>
      </c>
      <c r="D226">
        <v>3</v>
      </c>
      <c r="E226" t="s">
        <v>26</v>
      </c>
    </row>
    <row r="227" spans="1:5" x14ac:dyDescent="0.35">
      <c r="A227" s="1">
        <v>45883</v>
      </c>
      <c r="B227">
        <v>8</v>
      </c>
      <c r="C227" t="s">
        <v>27</v>
      </c>
      <c r="D227">
        <v>3</v>
      </c>
      <c r="E227" t="s">
        <v>26</v>
      </c>
    </row>
    <row r="228" spans="1:5" x14ac:dyDescent="0.35">
      <c r="A228" s="1">
        <v>45884</v>
      </c>
      <c r="B228">
        <v>8</v>
      </c>
      <c r="C228" t="s">
        <v>27</v>
      </c>
      <c r="D228">
        <v>3</v>
      </c>
      <c r="E228" t="s">
        <v>26</v>
      </c>
    </row>
    <row r="229" spans="1:5" x14ac:dyDescent="0.35">
      <c r="A229" s="1">
        <v>45885</v>
      </c>
      <c r="B229">
        <v>8</v>
      </c>
      <c r="C229" t="s">
        <v>27</v>
      </c>
      <c r="D229">
        <v>3</v>
      </c>
      <c r="E229" t="s">
        <v>26</v>
      </c>
    </row>
    <row r="230" spans="1:5" x14ac:dyDescent="0.35">
      <c r="A230" s="1">
        <v>45886</v>
      </c>
      <c r="B230">
        <v>8</v>
      </c>
      <c r="C230" t="s">
        <v>27</v>
      </c>
      <c r="D230">
        <v>3</v>
      </c>
      <c r="E230" t="s">
        <v>26</v>
      </c>
    </row>
    <row r="231" spans="1:5" x14ac:dyDescent="0.35">
      <c r="A231" s="1">
        <v>45887</v>
      </c>
      <c r="B231">
        <v>8</v>
      </c>
      <c r="C231" t="s">
        <v>27</v>
      </c>
      <c r="D231">
        <v>3</v>
      </c>
      <c r="E231" t="s">
        <v>26</v>
      </c>
    </row>
    <row r="232" spans="1:5" x14ac:dyDescent="0.35">
      <c r="A232" s="1">
        <v>45888</v>
      </c>
      <c r="B232">
        <v>8</v>
      </c>
      <c r="C232" t="s">
        <v>27</v>
      </c>
      <c r="D232">
        <v>3</v>
      </c>
      <c r="E232" t="s">
        <v>26</v>
      </c>
    </row>
    <row r="233" spans="1:5" x14ac:dyDescent="0.35">
      <c r="A233" s="1">
        <v>45889</v>
      </c>
      <c r="B233">
        <v>8</v>
      </c>
      <c r="C233" t="s">
        <v>27</v>
      </c>
      <c r="D233">
        <v>3</v>
      </c>
      <c r="E233" t="s">
        <v>26</v>
      </c>
    </row>
    <row r="234" spans="1:5" x14ac:dyDescent="0.35">
      <c r="A234" s="1">
        <v>45890</v>
      </c>
      <c r="B234">
        <v>8</v>
      </c>
      <c r="C234" t="s">
        <v>27</v>
      </c>
      <c r="D234">
        <v>3</v>
      </c>
      <c r="E234" t="s">
        <v>26</v>
      </c>
    </row>
    <row r="235" spans="1:5" x14ac:dyDescent="0.35">
      <c r="A235" s="1">
        <v>45891</v>
      </c>
      <c r="B235">
        <v>8</v>
      </c>
      <c r="C235" t="s">
        <v>27</v>
      </c>
      <c r="D235">
        <v>3</v>
      </c>
      <c r="E235" t="s">
        <v>26</v>
      </c>
    </row>
    <row r="236" spans="1:5" x14ac:dyDescent="0.35">
      <c r="A236" s="1">
        <v>45892</v>
      </c>
      <c r="B236">
        <v>8</v>
      </c>
      <c r="C236" t="s">
        <v>27</v>
      </c>
      <c r="D236">
        <v>3</v>
      </c>
      <c r="E236" t="s">
        <v>26</v>
      </c>
    </row>
    <row r="237" spans="1:5" x14ac:dyDescent="0.35">
      <c r="A237" s="1">
        <v>45893</v>
      </c>
      <c r="B237">
        <v>8</v>
      </c>
      <c r="C237" t="s">
        <v>27</v>
      </c>
      <c r="D237">
        <v>3</v>
      </c>
      <c r="E237" t="s">
        <v>26</v>
      </c>
    </row>
    <row r="238" spans="1:5" x14ac:dyDescent="0.35">
      <c r="A238" s="1">
        <v>45894</v>
      </c>
      <c r="B238">
        <v>8</v>
      </c>
      <c r="C238" t="s">
        <v>27</v>
      </c>
      <c r="D238">
        <v>3</v>
      </c>
      <c r="E238" t="s">
        <v>26</v>
      </c>
    </row>
    <row r="239" spans="1:5" x14ac:dyDescent="0.35">
      <c r="A239" s="1">
        <v>45895</v>
      </c>
      <c r="B239">
        <v>8</v>
      </c>
      <c r="C239" t="s">
        <v>27</v>
      </c>
      <c r="D239">
        <v>3</v>
      </c>
      <c r="E239" t="s">
        <v>26</v>
      </c>
    </row>
    <row r="240" spans="1:5" x14ac:dyDescent="0.35">
      <c r="A240" s="1">
        <v>45896</v>
      </c>
      <c r="B240">
        <v>8</v>
      </c>
      <c r="C240" t="s">
        <v>27</v>
      </c>
      <c r="D240">
        <v>3</v>
      </c>
      <c r="E240" t="s">
        <v>26</v>
      </c>
    </row>
    <row r="241" spans="1:5" x14ac:dyDescent="0.35">
      <c r="A241" s="1">
        <v>45897</v>
      </c>
      <c r="B241">
        <v>8</v>
      </c>
      <c r="C241" t="s">
        <v>27</v>
      </c>
      <c r="D241">
        <v>3</v>
      </c>
      <c r="E241" t="s">
        <v>26</v>
      </c>
    </row>
    <row r="242" spans="1:5" x14ac:dyDescent="0.35">
      <c r="A242" s="1">
        <v>45898</v>
      </c>
      <c r="B242">
        <v>8</v>
      </c>
      <c r="C242" t="s">
        <v>27</v>
      </c>
      <c r="D242">
        <v>3</v>
      </c>
      <c r="E242" t="s">
        <v>26</v>
      </c>
    </row>
    <row r="243" spans="1:5" x14ac:dyDescent="0.35">
      <c r="A243" s="1">
        <v>45899</v>
      </c>
      <c r="B243">
        <v>8</v>
      </c>
      <c r="C243" t="s">
        <v>27</v>
      </c>
      <c r="D243">
        <v>3</v>
      </c>
      <c r="E243" t="s">
        <v>26</v>
      </c>
    </row>
    <row r="244" spans="1:5" x14ac:dyDescent="0.35">
      <c r="A244" s="1">
        <v>45900</v>
      </c>
      <c r="B244">
        <v>8</v>
      </c>
      <c r="C244" t="s">
        <v>27</v>
      </c>
      <c r="D244">
        <v>3</v>
      </c>
      <c r="E244" t="s">
        <v>26</v>
      </c>
    </row>
    <row r="245" spans="1:5" x14ac:dyDescent="0.35">
      <c r="A245" s="1">
        <v>45901</v>
      </c>
      <c r="B245">
        <v>9</v>
      </c>
      <c r="C245" t="s">
        <v>28</v>
      </c>
      <c r="D245">
        <v>3</v>
      </c>
      <c r="E245" t="s">
        <v>26</v>
      </c>
    </row>
    <row r="246" spans="1:5" x14ac:dyDescent="0.35">
      <c r="A246" s="1">
        <v>45902</v>
      </c>
      <c r="B246">
        <v>9</v>
      </c>
      <c r="C246" t="s">
        <v>28</v>
      </c>
      <c r="D246">
        <v>3</v>
      </c>
      <c r="E246" t="s">
        <v>26</v>
      </c>
    </row>
    <row r="247" spans="1:5" x14ac:dyDescent="0.35">
      <c r="A247" s="1">
        <v>45903</v>
      </c>
      <c r="B247">
        <v>9</v>
      </c>
      <c r="C247" t="s">
        <v>28</v>
      </c>
      <c r="D247">
        <v>3</v>
      </c>
      <c r="E247" t="s">
        <v>26</v>
      </c>
    </row>
    <row r="248" spans="1:5" x14ac:dyDescent="0.35">
      <c r="A248" s="1">
        <v>45904</v>
      </c>
      <c r="B248">
        <v>9</v>
      </c>
      <c r="C248" t="s">
        <v>28</v>
      </c>
      <c r="D248">
        <v>3</v>
      </c>
      <c r="E248" t="s">
        <v>26</v>
      </c>
    </row>
    <row r="249" spans="1:5" x14ac:dyDescent="0.35">
      <c r="A249" s="1">
        <v>45905</v>
      </c>
      <c r="B249">
        <v>9</v>
      </c>
      <c r="C249" t="s">
        <v>28</v>
      </c>
      <c r="D249">
        <v>3</v>
      </c>
      <c r="E249" t="s">
        <v>26</v>
      </c>
    </row>
    <row r="250" spans="1:5" x14ac:dyDescent="0.35">
      <c r="A250" s="1">
        <v>45906</v>
      </c>
      <c r="B250">
        <v>9</v>
      </c>
      <c r="C250" t="s">
        <v>28</v>
      </c>
      <c r="D250">
        <v>3</v>
      </c>
      <c r="E250" t="s">
        <v>26</v>
      </c>
    </row>
    <row r="251" spans="1:5" x14ac:dyDescent="0.35">
      <c r="A251" s="1">
        <v>45907</v>
      </c>
      <c r="B251">
        <v>9</v>
      </c>
      <c r="C251" t="s">
        <v>28</v>
      </c>
      <c r="D251">
        <v>3</v>
      </c>
      <c r="E251" t="s">
        <v>26</v>
      </c>
    </row>
    <row r="252" spans="1:5" x14ac:dyDescent="0.35">
      <c r="A252" s="1">
        <v>45908</v>
      </c>
      <c r="B252">
        <v>9</v>
      </c>
      <c r="C252" t="s">
        <v>28</v>
      </c>
      <c r="D252">
        <v>3</v>
      </c>
      <c r="E252" t="s">
        <v>26</v>
      </c>
    </row>
    <row r="253" spans="1:5" x14ac:dyDescent="0.35">
      <c r="A253" s="1">
        <v>45909</v>
      </c>
      <c r="B253">
        <v>9</v>
      </c>
      <c r="C253" t="s">
        <v>28</v>
      </c>
      <c r="D253">
        <v>3</v>
      </c>
      <c r="E253" t="s">
        <v>26</v>
      </c>
    </row>
    <row r="254" spans="1:5" x14ac:dyDescent="0.35">
      <c r="A254" s="1">
        <v>45910</v>
      </c>
      <c r="B254">
        <v>9</v>
      </c>
      <c r="C254" t="s">
        <v>28</v>
      </c>
      <c r="D254">
        <v>3</v>
      </c>
      <c r="E254" t="s">
        <v>26</v>
      </c>
    </row>
    <row r="255" spans="1:5" x14ac:dyDescent="0.35">
      <c r="A255" s="1">
        <v>45911</v>
      </c>
      <c r="B255">
        <v>9</v>
      </c>
      <c r="C255" t="s">
        <v>28</v>
      </c>
      <c r="D255">
        <v>3</v>
      </c>
      <c r="E255" t="s">
        <v>26</v>
      </c>
    </row>
    <row r="256" spans="1:5" x14ac:dyDescent="0.35">
      <c r="A256" s="1">
        <v>45912</v>
      </c>
      <c r="B256">
        <v>9</v>
      </c>
      <c r="C256" t="s">
        <v>28</v>
      </c>
      <c r="D256">
        <v>3</v>
      </c>
      <c r="E256" t="s">
        <v>26</v>
      </c>
    </row>
    <row r="257" spans="1:5" x14ac:dyDescent="0.35">
      <c r="A257" s="1">
        <v>45913</v>
      </c>
      <c r="B257">
        <v>9</v>
      </c>
      <c r="C257" t="s">
        <v>28</v>
      </c>
      <c r="D257">
        <v>3</v>
      </c>
      <c r="E257" t="s">
        <v>26</v>
      </c>
    </row>
    <row r="258" spans="1:5" x14ac:dyDescent="0.35">
      <c r="A258" s="1">
        <v>45914</v>
      </c>
      <c r="B258">
        <v>9</v>
      </c>
      <c r="C258" t="s">
        <v>28</v>
      </c>
      <c r="D258">
        <v>3</v>
      </c>
      <c r="E258" t="s">
        <v>26</v>
      </c>
    </row>
    <row r="259" spans="1:5" x14ac:dyDescent="0.35">
      <c r="A259" s="1">
        <v>45915</v>
      </c>
      <c r="B259">
        <v>9</v>
      </c>
      <c r="C259" t="s">
        <v>28</v>
      </c>
      <c r="D259">
        <v>3</v>
      </c>
      <c r="E259" t="s">
        <v>26</v>
      </c>
    </row>
    <row r="260" spans="1:5" x14ac:dyDescent="0.35">
      <c r="A260" s="1">
        <v>45916</v>
      </c>
      <c r="B260">
        <v>9</v>
      </c>
      <c r="C260" t="s">
        <v>28</v>
      </c>
      <c r="D260">
        <v>3</v>
      </c>
      <c r="E260" t="s">
        <v>26</v>
      </c>
    </row>
    <row r="261" spans="1:5" x14ac:dyDescent="0.35">
      <c r="A261" s="1">
        <v>45917</v>
      </c>
      <c r="B261">
        <v>9</v>
      </c>
      <c r="C261" t="s">
        <v>28</v>
      </c>
      <c r="D261">
        <v>3</v>
      </c>
      <c r="E261" t="s">
        <v>26</v>
      </c>
    </row>
    <row r="262" spans="1:5" x14ac:dyDescent="0.35">
      <c r="A262" s="1">
        <v>45918</v>
      </c>
      <c r="B262">
        <v>9</v>
      </c>
      <c r="C262" t="s">
        <v>28</v>
      </c>
      <c r="D262">
        <v>3</v>
      </c>
      <c r="E262" t="s">
        <v>26</v>
      </c>
    </row>
    <row r="263" spans="1:5" x14ac:dyDescent="0.35">
      <c r="A263" s="1">
        <v>45919</v>
      </c>
      <c r="B263">
        <v>9</v>
      </c>
      <c r="C263" t="s">
        <v>28</v>
      </c>
      <c r="D263">
        <v>3</v>
      </c>
      <c r="E263" t="s">
        <v>26</v>
      </c>
    </row>
    <row r="264" spans="1:5" x14ac:dyDescent="0.35">
      <c r="A264" s="1">
        <v>45920</v>
      </c>
      <c r="B264">
        <v>9</v>
      </c>
      <c r="C264" t="s">
        <v>28</v>
      </c>
      <c r="D264">
        <v>3</v>
      </c>
      <c r="E264" t="s">
        <v>26</v>
      </c>
    </row>
    <row r="265" spans="1:5" x14ac:dyDescent="0.35">
      <c r="A265" s="1">
        <v>45921</v>
      </c>
      <c r="B265">
        <v>9</v>
      </c>
      <c r="C265" t="s">
        <v>28</v>
      </c>
      <c r="D265">
        <v>3</v>
      </c>
      <c r="E265" t="s">
        <v>26</v>
      </c>
    </row>
    <row r="266" spans="1:5" x14ac:dyDescent="0.35">
      <c r="A266" s="1">
        <v>45922</v>
      </c>
      <c r="B266">
        <v>9</v>
      </c>
      <c r="C266" t="s">
        <v>28</v>
      </c>
      <c r="D266">
        <v>3</v>
      </c>
      <c r="E266" t="s">
        <v>26</v>
      </c>
    </row>
    <row r="267" spans="1:5" x14ac:dyDescent="0.35">
      <c r="A267" s="1">
        <v>45923</v>
      </c>
      <c r="B267">
        <v>9</v>
      </c>
      <c r="C267" t="s">
        <v>28</v>
      </c>
      <c r="D267">
        <v>3</v>
      </c>
      <c r="E267" t="s">
        <v>26</v>
      </c>
    </row>
    <row r="268" spans="1:5" x14ac:dyDescent="0.35">
      <c r="A268" s="1">
        <v>45924</v>
      </c>
      <c r="B268">
        <v>9</v>
      </c>
      <c r="C268" t="s">
        <v>28</v>
      </c>
      <c r="D268">
        <v>3</v>
      </c>
      <c r="E268" t="s">
        <v>26</v>
      </c>
    </row>
    <row r="269" spans="1:5" x14ac:dyDescent="0.35">
      <c r="A269" s="1">
        <v>45925</v>
      </c>
      <c r="B269">
        <v>9</v>
      </c>
      <c r="C269" t="s">
        <v>28</v>
      </c>
      <c r="D269">
        <v>3</v>
      </c>
      <c r="E269" t="s">
        <v>26</v>
      </c>
    </row>
    <row r="270" spans="1:5" x14ac:dyDescent="0.35">
      <c r="A270" s="1">
        <v>45926</v>
      </c>
      <c r="B270">
        <v>9</v>
      </c>
      <c r="C270" t="s">
        <v>28</v>
      </c>
      <c r="D270">
        <v>3</v>
      </c>
      <c r="E270" t="s">
        <v>26</v>
      </c>
    </row>
    <row r="271" spans="1:5" x14ac:dyDescent="0.35">
      <c r="A271" s="1">
        <v>45927</v>
      </c>
      <c r="B271">
        <v>9</v>
      </c>
      <c r="C271" t="s">
        <v>28</v>
      </c>
      <c r="D271">
        <v>3</v>
      </c>
      <c r="E271" t="s">
        <v>26</v>
      </c>
    </row>
    <row r="272" spans="1:5" x14ac:dyDescent="0.35">
      <c r="A272" s="1">
        <v>45928</v>
      </c>
      <c r="B272">
        <v>9</v>
      </c>
      <c r="C272" t="s">
        <v>28</v>
      </c>
      <c r="D272">
        <v>3</v>
      </c>
      <c r="E272" t="s">
        <v>26</v>
      </c>
    </row>
    <row r="273" spans="1:5" x14ac:dyDescent="0.35">
      <c r="A273" s="1">
        <v>45929</v>
      </c>
      <c r="B273">
        <v>9</v>
      </c>
      <c r="C273" t="s">
        <v>28</v>
      </c>
      <c r="D273">
        <v>3</v>
      </c>
      <c r="E273" t="s">
        <v>26</v>
      </c>
    </row>
    <row r="274" spans="1:5" x14ac:dyDescent="0.35">
      <c r="A274" s="1">
        <v>45930</v>
      </c>
      <c r="B274">
        <v>9</v>
      </c>
      <c r="C274" t="s">
        <v>28</v>
      </c>
      <c r="D274">
        <v>3</v>
      </c>
      <c r="E274" t="s">
        <v>26</v>
      </c>
    </row>
    <row r="275" spans="1:5" x14ac:dyDescent="0.35">
      <c r="A275" s="1">
        <v>45931</v>
      </c>
      <c r="B275">
        <v>10</v>
      </c>
      <c r="C275" t="s">
        <v>29</v>
      </c>
      <c r="D275">
        <v>4</v>
      </c>
      <c r="E275" t="s">
        <v>30</v>
      </c>
    </row>
    <row r="276" spans="1:5" x14ac:dyDescent="0.35">
      <c r="A276" s="1">
        <v>45932</v>
      </c>
      <c r="B276">
        <v>10</v>
      </c>
      <c r="C276" t="s">
        <v>29</v>
      </c>
      <c r="D276">
        <v>4</v>
      </c>
      <c r="E276" t="s">
        <v>30</v>
      </c>
    </row>
    <row r="277" spans="1:5" x14ac:dyDescent="0.35">
      <c r="A277" s="1">
        <v>45933</v>
      </c>
      <c r="B277">
        <v>10</v>
      </c>
      <c r="C277" t="s">
        <v>29</v>
      </c>
      <c r="D277">
        <v>4</v>
      </c>
      <c r="E277" t="s">
        <v>30</v>
      </c>
    </row>
    <row r="278" spans="1:5" x14ac:dyDescent="0.35">
      <c r="A278" s="1">
        <v>45934</v>
      </c>
      <c r="B278">
        <v>10</v>
      </c>
      <c r="C278" t="s">
        <v>29</v>
      </c>
      <c r="D278">
        <v>4</v>
      </c>
      <c r="E278" t="s">
        <v>30</v>
      </c>
    </row>
    <row r="279" spans="1:5" x14ac:dyDescent="0.35">
      <c r="A279" s="1">
        <v>45935</v>
      </c>
      <c r="B279">
        <v>10</v>
      </c>
      <c r="C279" t="s">
        <v>29</v>
      </c>
      <c r="D279">
        <v>4</v>
      </c>
      <c r="E279" t="s">
        <v>30</v>
      </c>
    </row>
    <row r="280" spans="1:5" x14ac:dyDescent="0.35">
      <c r="A280" s="1">
        <v>45936</v>
      </c>
      <c r="B280">
        <v>10</v>
      </c>
      <c r="C280" t="s">
        <v>29</v>
      </c>
      <c r="D280">
        <v>4</v>
      </c>
      <c r="E280" t="s">
        <v>30</v>
      </c>
    </row>
    <row r="281" spans="1:5" x14ac:dyDescent="0.35">
      <c r="A281" s="1">
        <v>45937</v>
      </c>
      <c r="B281">
        <v>10</v>
      </c>
      <c r="C281" t="s">
        <v>29</v>
      </c>
      <c r="D281">
        <v>4</v>
      </c>
      <c r="E281" t="s">
        <v>30</v>
      </c>
    </row>
    <row r="282" spans="1:5" x14ac:dyDescent="0.35">
      <c r="A282" s="1">
        <v>45938</v>
      </c>
      <c r="B282">
        <v>10</v>
      </c>
      <c r="C282" t="s">
        <v>29</v>
      </c>
      <c r="D282">
        <v>4</v>
      </c>
      <c r="E282" t="s">
        <v>30</v>
      </c>
    </row>
    <row r="283" spans="1:5" x14ac:dyDescent="0.35">
      <c r="A283" s="1">
        <v>45939</v>
      </c>
      <c r="B283">
        <v>10</v>
      </c>
      <c r="C283" t="s">
        <v>29</v>
      </c>
      <c r="D283">
        <v>4</v>
      </c>
      <c r="E283" t="s">
        <v>30</v>
      </c>
    </row>
    <row r="284" spans="1:5" x14ac:dyDescent="0.35">
      <c r="A284" s="1">
        <v>45940</v>
      </c>
      <c r="B284">
        <v>10</v>
      </c>
      <c r="C284" t="s">
        <v>29</v>
      </c>
      <c r="D284">
        <v>4</v>
      </c>
      <c r="E284" t="s">
        <v>30</v>
      </c>
    </row>
    <row r="285" spans="1:5" x14ac:dyDescent="0.35">
      <c r="A285" s="1">
        <v>45941</v>
      </c>
      <c r="B285">
        <v>10</v>
      </c>
      <c r="C285" t="s">
        <v>29</v>
      </c>
      <c r="D285">
        <v>4</v>
      </c>
      <c r="E285" t="s">
        <v>30</v>
      </c>
    </row>
    <row r="286" spans="1:5" x14ac:dyDescent="0.35">
      <c r="A286" s="1">
        <v>45942</v>
      </c>
      <c r="B286">
        <v>10</v>
      </c>
      <c r="C286" t="s">
        <v>29</v>
      </c>
      <c r="D286">
        <v>4</v>
      </c>
      <c r="E286" t="s">
        <v>30</v>
      </c>
    </row>
    <row r="287" spans="1:5" x14ac:dyDescent="0.35">
      <c r="A287" s="1">
        <v>45943</v>
      </c>
      <c r="B287">
        <v>10</v>
      </c>
      <c r="C287" t="s">
        <v>29</v>
      </c>
      <c r="D287">
        <v>4</v>
      </c>
      <c r="E287" t="s">
        <v>30</v>
      </c>
    </row>
    <row r="288" spans="1:5" x14ac:dyDescent="0.35">
      <c r="A288" s="1">
        <v>45944</v>
      </c>
      <c r="B288">
        <v>10</v>
      </c>
      <c r="C288" t="s">
        <v>29</v>
      </c>
      <c r="D288">
        <v>4</v>
      </c>
      <c r="E288" t="s">
        <v>30</v>
      </c>
    </row>
    <row r="289" spans="1:5" x14ac:dyDescent="0.35">
      <c r="A289" s="1">
        <v>45945</v>
      </c>
      <c r="B289">
        <v>10</v>
      </c>
      <c r="C289" t="s">
        <v>29</v>
      </c>
      <c r="D289">
        <v>4</v>
      </c>
      <c r="E289" t="s">
        <v>30</v>
      </c>
    </row>
    <row r="290" spans="1:5" x14ac:dyDescent="0.35">
      <c r="A290" s="1">
        <v>45946</v>
      </c>
      <c r="B290">
        <v>10</v>
      </c>
      <c r="C290" t="s">
        <v>29</v>
      </c>
      <c r="D290">
        <v>4</v>
      </c>
      <c r="E290" t="s">
        <v>30</v>
      </c>
    </row>
    <row r="291" spans="1:5" x14ac:dyDescent="0.35">
      <c r="A291" s="1">
        <v>45947</v>
      </c>
      <c r="B291">
        <v>10</v>
      </c>
      <c r="C291" t="s">
        <v>29</v>
      </c>
      <c r="D291">
        <v>4</v>
      </c>
      <c r="E291" t="s">
        <v>30</v>
      </c>
    </row>
    <row r="292" spans="1:5" x14ac:dyDescent="0.35">
      <c r="A292" s="1">
        <v>45948</v>
      </c>
      <c r="B292">
        <v>10</v>
      </c>
      <c r="C292" t="s">
        <v>29</v>
      </c>
      <c r="D292">
        <v>4</v>
      </c>
      <c r="E292" t="s">
        <v>30</v>
      </c>
    </row>
    <row r="293" spans="1:5" x14ac:dyDescent="0.35">
      <c r="A293" s="1">
        <v>45949</v>
      </c>
      <c r="B293">
        <v>10</v>
      </c>
      <c r="C293" t="s">
        <v>29</v>
      </c>
      <c r="D293">
        <v>4</v>
      </c>
      <c r="E293" t="s">
        <v>30</v>
      </c>
    </row>
    <row r="294" spans="1:5" x14ac:dyDescent="0.35">
      <c r="A294" s="1">
        <v>45950</v>
      </c>
      <c r="B294">
        <v>10</v>
      </c>
      <c r="C294" t="s">
        <v>29</v>
      </c>
      <c r="D294">
        <v>4</v>
      </c>
      <c r="E294" t="s">
        <v>30</v>
      </c>
    </row>
    <row r="295" spans="1:5" x14ac:dyDescent="0.35">
      <c r="A295" s="1">
        <v>45951</v>
      </c>
      <c r="B295">
        <v>10</v>
      </c>
      <c r="C295" t="s">
        <v>29</v>
      </c>
      <c r="D295">
        <v>4</v>
      </c>
      <c r="E295" t="s">
        <v>30</v>
      </c>
    </row>
    <row r="296" spans="1:5" x14ac:dyDescent="0.35">
      <c r="A296" s="1">
        <v>45952</v>
      </c>
      <c r="B296">
        <v>10</v>
      </c>
      <c r="C296" t="s">
        <v>29</v>
      </c>
      <c r="D296">
        <v>4</v>
      </c>
      <c r="E296" t="s">
        <v>30</v>
      </c>
    </row>
    <row r="297" spans="1:5" x14ac:dyDescent="0.35">
      <c r="A297" s="1">
        <v>45953</v>
      </c>
      <c r="B297">
        <v>10</v>
      </c>
      <c r="C297" t="s">
        <v>29</v>
      </c>
      <c r="D297">
        <v>4</v>
      </c>
      <c r="E297" t="s">
        <v>30</v>
      </c>
    </row>
    <row r="298" spans="1:5" x14ac:dyDescent="0.35">
      <c r="A298" s="1">
        <v>45954</v>
      </c>
      <c r="B298">
        <v>10</v>
      </c>
      <c r="C298" t="s">
        <v>29</v>
      </c>
      <c r="D298">
        <v>4</v>
      </c>
      <c r="E298" t="s">
        <v>30</v>
      </c>
    </row>
    <row r="299" spans="1:5" x14ac:dyDescent="0.35">
      <c r="A299" s="1">
        <v>45955</v>
      </c>
      <c r="B299">
        <v>10</v>
      </c>
      <c r="C299" t="s">
        <v>29</v>
      </c>
      <c r="D299">
        <v>4</v>
      </c>
      <c r="E299" t="s">
        <v>30</v>
      </c>
    </row>
    <row r="300" spans="1:5" x14ac:dyDescent="0.35">
      <c r="A300" s="1">
        <v>45956</v>
      </c>
      <c r="B300">
        <v>10</v>
      </c>
      <c r="C300" t="s">
        <v>29</v>
      </c>
      <c r="D300">
        <v>4</v>
      </c>
      <c r="E300" t="s">
        <v>30</v>
      </c>
    </row>
    <row r="301" spans="1:5" x14ac:dyDescent="0.35">
      <c r="A301" s="1">
        <v>45957</v>
      </c>
      <c r="B301">
        <v>10</v>
      </c>
      <c r="C301" t="s">
        <v>29</v>
      </c>
      <c r="D301">
        <v>4</v>
      </c>
      <c r="E301" t="s">
        <v>30</v>
      </c>
    </row>
    <row r="302" spans="1:5" x14ac:dyDescent="0.35">
      <c r="A302" s="1">
        <v>45958</v>
      </c>
      <c r="B302">
        <v>10</v>
      </c>
      <c r="C302" t="s">
        <v>29</v>
      </c>
      <c r="D302">
        <v>4</v>
      </c>
      <c r="E302" t="s">
        <v>30</v>
      </c>
    </row>
    <row r="303" spans="1:5" x14ac:dyDescent="0.35">
      <c r="A303" s="1">
        <v>45959</v>
      </c>
      <c r="B303">
        <v>10</v>
      </c>
      <c r="C303" t="s">
        <v>29</v>
      </c>
      <c r="D303">
        <v>4</v>
      </c>
      <c r="E303" t="s">
        <v>30</v>
      </c>
    </row>
    <row r="304" spans="1:5" x14ac:dyDescent="0.35">
      <c r="A304" s="1">
        <v>45960</v>
      </c>
      <c r="B304">
        <v>10</v>
      </c>
      <c r="C304" t="s">
        <v>29</v>
      </c>
      <c r="D304">
        <v>4</v>
      </c>
      <c r="E304" t="s">
        <v>30</v>
      </c>
    </row>
    <row r="305" spans="1:5" x14ac:dyDescent="0.35">
      <c r="A305" s="1">
        <v>45961</v>
      </c>
      <c r="B305">
        <v>10</v>
      </c>
      <c r="C305" t="s">
        <v>29</v>
      </c>
      <c r="D305">
        <v>4</v>
      </c>
      <c r="E305" t="s">
        <v>30</v>
      </c>
    </row>
    <row r="306" spans="1:5" x14ac:dyDescent="0.35">
      <c r="A306" s="1">
        <v>45962</v>
      </c>
      <c r="B306">
        <v>11</v>
      </c>
      <c r="C306" t="s">
        <v>31</v>
      </c>
      <c r="D306">
        <v>4</v>
      </c>
      <c r="E306" t="s">
        <v>30</v>
      </c>
    </row>
    <row r="307" spans="1:5" x14ac:dyDescent="0.35">
      <c r="A307" s="1">
        <v>45963</v>
      </c>
      <c r="B307">
        <v>11</v>
      </c>
      <c r="C307" t="s">
        <v>31</v>
      </c>
      <c r="D307">
        <v>4</v>
      </c>
      <c r="E307" t="s">
        <v>30</v>
      </c>
    </row>
    <row r="308" spans="1:5" x14ac:dyDescent="0.35">
      <c r="A308" s="1">
        <v>45964</v>
      </c>
      <c r="B308">
        <v>11</v>
      </c>
      <c r="C308" t="s">
        <v>31</v>
      </c>
      <c r="D308">
        <v>4</v>
      </c>
      <c r="E308" t="s">
        <v>30</v>
      </c>
    </row>
    <row r="309" spans="1:5" x14ac:dyDescent="0.35">
      <c r="A309" s="1">
        <v>45965</v>
      </c>
      <c r="B309">
        <v>11</v>
      </c>
      <c r="C309" t="s">
        <v>31</v>
      </c>
      <c r="D309">
        <v>4</v>
      </c>
      <c r="E309" t="s">
        <v>30</v>
      </c>
    </row>
    <row r="310" spans="1:5" x14ac:dyDescent="0.35">
      <c r="A310" s="1">
        <v>45966</v>
      </c>
      <c r="B310">
        <v>11</v>
      </c>
      <c r="C310" t="s">
        <v>31</v>
      </c>
      <c r="D310">
        <v>4</v>
      </c>
      <c r="E310" t="s">
        <v>30</v>
      </c>
    </row>
    <row r="311" spans="1:5" x14ac:dyDescent="0.35">
      <c r="A311" s="1">
        <v>45967</v>
      </c>
      <c r="B311">
        <v>11</v>
      </c>
      <c r="C311" t="s">
        <v>31</v>
      </c>
      <c r="D311">
        <v>4</v>
      </c>
      <c r="E311" t="s">
        <v>30</v>
      </c>
    </row>
    <row r="312" spans="1:5" x14ac:dyDescent="0.35">
      <c r="A312" s="1">
        <v>45968</v>
      </c>
      <c r="B312">
        <v>11</v>
      </c>
      <c r="C312" t="s">
        <v>31</v>
      </c>
      <c r="D312">
        <v>4</v>
      </c>
      <c r="E312" t="s">
        <v>30</v>
      </c>
    </row>
    <row r="313" spans="1:5" x14ac:dyDescent="0.35">
      <c r="A313" s="1">
        <v>45969</v>
      </c>
      <c r="B313">
        <v>11</v>
      </c>
      <c r="C313" t="s">
        <v>31</v>
      </c>
      <c r="D313">
        <v>4</v>
      </c>
      <c r="E313" t="s">
        <v>30</v>
      </c>
    </row>
    <row r="314" spans="1:5" x14ac:dyDescent="0.35">
      <c r="A314" s="1">
        <v>45970</v>
      </c>
      <c r="B314">
        <v>11</v>
      </c>
      <c r="C314" t="s">
        <v>31</v>
      </c>
      <c r="D314">
        <v>4</v>
      </c>
      <c r="E314" t="s">
        <v>30</v>
      </c>
    </row>
    <row r="315" spans="1:5" x14ac:dyDescent="0.35">
      <c r="A315" s="1">
        <v>45971</v>
      </c>
      <c r="B315">
        <v>11</v>
      </c>
      <c r="C315" t="s">
        <v>31</v>
      </c>
      <c r="D315">
        <v>4</v>
      </c>
      <c r="E315" t="s">
        <v>30</v>
      </c>
    </row>
    <row r="316" spans="1:5" x14ac:dyDescent="0.35">
      <c r="A316" s="1">
        <v>45972</v>
      </c>
      <c r="B316">
        <v>11</v>
      </c>
      <c r="C316" t="s">
        <v>31</v>
      </c>
      <c r="D316">
        <v>4</v>
      </c>
      <c r="E316" t="s">
        <v>30</v>
      </c>
    </row>
    <row r="317" spans="1:5" x14ac:dyDescent="0.35">
      <c r="A317" s="1">
        <v>45973</v>
      </c>
      <c r="B317">
        <v>11</v>
      </c>
      <c r="C317" t="s">
        <v>31</v>
      </c>
      <c r="D317">
        <v>4</v>
      </c>
      <c r="E317" t="s">
        <v>30</v>
      </c>
    </row>
    <row r="318" spans="1:5" x14ac:dyDescent="0.35">
      <c r="A318" s="1">
        <v>45974</v>
      </c>
      <c r="B318">
        <v>11</v>
      </c>
      <c r="C318" t="s">
        <v>31</v>
      </c>
      <c r="D318">
        <v>4</v>
      </c>
      <c r="E318" t="s">
        <v>30</v>
      </c>
    </row>
    <row r="319" spans="1:5" x14ac:dyDescent="0.35">
      <c r="A319" s="1">
        <v>45975</v>
      </c>
      <c r="B319">
        <v>11</v>
      </c>
      <c r="C319" t="s">
        <v>31</v>
      </c>
      <c r="D319">
        <v>4</v>
      </c>
      <c r="E319" t="s">
        <v>30</v>
      </c>
    </row>
    <row r="320" spans="1:5" x14ac:dyDescent="0.35">
      <c r="A320" s="1">
        <v>45976</v>
      </c>
      <c r="B320">
        <v>11</v>
      </c>
      <c r="C320" t="s">
        <v>31</v>
      </c>
      <c r="D320">
        <v>4</v>
      </c>
      <c r="E320" t="s">
        <v>30</v>
      </c>
    </row>
    <row r="321" spans="1:5" x14ac:dyDescent="0.35">
      <c r="A321" s="1">
        <v>45977</v>
      </c>
      <c r="B321">
        <v>11</v>
      </c>
      <c r="C321" t="s">
        <v>31</v>
      </c>
      <c r="D321">
        <v>4</v>
      </c>
      <c r="E321" t="s">
        <v>30</v>
      </c>
    </row>
    <row r="322" spans="1:5" x14ac:dyDescent="0.35">
      <c r="A322" s="1">
        <v>45978</v>
      </c>
      <c r="B322">
        <v>11</v>
      </c>
      <c r="C322" t="s">
        <v>31</v>
      </c>
      <c r="D322">
        <v>4</v>
      </c>
      <c r="E322" t="s">
        <v>30</v>
      </c>
    </row>
    <row r="323" spans="1:5" x14ac:dyDescent="0.35">
      <c r="A323" s="1">
        <v>45979</v>
      </c>
      <c r="B323">
        <v>11</v>
      </c>
      <c r="C323" t="s">
        <v>31</v>
      </c>
      <c r="D323">
        <v>4</v>
      </c>
      <c r="E323" t="s">
        <v>30</v>
      </c>
    </row>
    <row r="324" spans="1:5" x14ac:dyDescent="0.35">
      <c r="A324" s="1">
        <v>45980</v>
      </c>
      <c r="B324">
        <v>11</v>
      </c>
      <c r="C324" t="s">
        <v>31</v>
      </c>
      <c r="D324">
        <v>4</v>
      </c>
      <c r="E324" t="s">
        <v>30</v>
      </c>
    </row>
    <row r="325" spans="1:5" x14ac:dyDescent="0.35">
      <c r="A325" s="1">
        <v>45981</v>
      </c>
      <c r="B325">
        <v>11</v>
      </c>
      <c r="C325" t="s">
        <v>31</v>
      </c>
      <c r="D325">
        <v>4</v>
      </c>
      <c r="E325" t="s">
        <v>30</v>
      </c>
    </row>
    <row r="326" spans="1:5" x14ac:dyDescent="0.35">
      <c r="A326" s="1">
        <v>45982</v>
      </c>
      <c r="B326">
        <v>11</v>
      </c>
      <c r="C326" t="s">
        <v>31</v>
      </c>
      <c r="D326">
        <v>4</v>
      </c>
      <c r="E326" t="s">
        <v>30</v>
      </c>
    </row>
    <row r="327" spans="1:5" x14ac:dyDescent="0.35">
      <c r="A327" s="1">
        <v>45983</v>
      </c>
      <c r="B327">
        <v>11</v>
      </c>
      <c r="C327" t="s">
        <v>31</v>
      </c>
      <c r="D327">
        <v>4</v>
      </c>
      <c r="E327" t="s">
        <v>30</v>
      </c>
    </row>
    <row r="328" spans="1:5" x14ac:dyDescent="0.35">
      <c r="A328" s="1">
        <v>45984</v>
      </c>
      <c r="B328">
        <v>11</v>
      </c>
      <c r="C328" t="s">
        <v>31</v>
      </c>
      <c r="D328">
        <v>4</v>
      </c>
      <c r="E328" t="s">
        <v>30</v>
      </c>
    </row>
    <row r="329" spans="1:5" x14ac:dyDescent="0.35">
      <c r="A329" s="1">
        <v>45985</v>
      </c>
      <c r="B329">
        <v>11</v>
      </c>
      <c r="C329" t="s">
        <v>31</v>
      </c>
      <c r="D329">
        <v>4</v>
      </c>
      <c r="E329" t="s">
        <v>30</v>
      </c>
    </row>
    <row r="330" spans="1:5" x14ac:dyDescent="0.35">
      <c r="A330" s="1">
        <v>45986</v>
      </c>
      <c r="B330">
        <v>11</v>
      </c>
      <c r="C330" t="s">
        <v>31</v>
      </c>
      <c r="D330">
        <v>4</v>
      </c>
      <c r="E330" t="s">
        <v>30</v>
      </c>
    </row>
    <row r="331" spans="1:5" x14ac:dyDescent="0.35">
      <c r="A331" s="1">
        <v>45987</v>
      </c>
      <c r="B331">
        <v>11</v>
      </c>
      <c r="C331" t="s">
        <v>31</v>
      </c>
      <c r="D331">
        <v>4</v>
      </c>
      <c r="E331" t="s">
        <v>30</v>
      </c>
    </row>
    <row r="332" spans="1:5" x14ac:dyDescent="0.35">
      <c r="A332" s="1">
        <v>45988</v>
      </c>
      <c r="B332">
        <v>11</v>
      </c>
      <c r="C332" t="s">
        <v>31</v>
      </c>
      <c r="D332">
        <v>4</v>
      </c>
      <c r="E332" t="s">
        <v>30</v>
      </c>
    </row>
    <row r="333" spans="1:5" x14ac:dyDescent="0.35">
      <c r="A333" s="1">
        <v>45989</v>
      </c>
      <c r="B333">
        <v>11</v>
      </c>
      <c r="C333" t="s">
        <v>31</v>
      </c>
      <c r="D333">
        <v>4</v>
      </c>
      <c r="E333" t="s">
        <v>30</v>
      </c>
    </row>
    <row r="334" spans="1:5" x14ac:dyDescent="0.35">
      <c r="A334" s="1">
        <v>45990</v>
      </c>
      <c r="B334">
        <v>11</v>
      </c>
      <c r="C334" t="s">
        <v>31</v>
      </c>
      <c r="D334">
        <v>4</v>
      </c>
      <c r="E334" t="s">
        <v>30</v>
      </c>
    </row>
    <row r="335" spans="1:5" x14ac:dyDescent="0.35">
      <c r="A335" s="1">
        <v>45991</v>
      </c>
      <c r="B335">
        <v>11</v>
      </c>
      <c r="C335" t="s">
        <v>31</v>
      </c>
      <c r="D335">
        <v>4</v>
      </c>
      <c r="E335" t="s">
        <v>30</v>
      </c>
    </row>
    <row r="336" spans="1:5" x14ac:dyDescent="0.35">
      <c r="A336" s="1">
        <v>45992</v>
      </c>
      <c r="B336">
        <v>12</v>
      </c>
      <c r="C336" t="s">
        <v>32</v>
      </c>
      <c r="D336">
        <v>4</v>
      </c>
      <c r="E336" t="s">
        <v>30</v>
      </c>
    </row>
    <row r="337" spans="1:5" x14ac:dyDescent="0.35">
      <c r="A337" s="1">
        <v>45993</v>
      </c>
      <c r="B337">
        <v>12</v>
      </c>
      <c r="C337" t="s">
        <v>32</v>
      </c>
      <c r="D337">
        <v>4</v>
      </c>
      <c r="E337" t="s">
        <v>30</v>
      </c>
    </row>
    <row r="338" spans="1:5" x14ac:dyDescent="0.35">
      <c r="A338" s="1">
        <v>45994</v>
      </c>
      <c r="B338">
        <v>12</v>
      </c>
      <c r="C338" t="s">
        <v>32</v>
      </c>
      <c r="D338">
        <v>4</v>
      </c>
      <c r="E338" t="s">
        <v>30</v>
      </c>
    </row>
    <row r="339" spans="1:5" x14ac:dyDescent="0.35">
      <c r="A339" s="1">
        <v>45995</v>
      </c>
      <c r="B339">
        <v>12</v>
      </c>
      <c r="C339" t="s">
        <v>32</v>
      </c>
      <c r="D339">
        <v>4</v>
      </c>
      <c r="E339" t="s">
        <v>30</v>
      </c>
    </row>
    <row r="340" spans="1:5" x14ac:dyDescent="0.35">
      <c r="A340" s="1">
        <v>45996</v>
      </c>
      <c r="B340">
        <v>12</v>
      </c>
      <c r="C340" t="s">
        <v>32</v>
      </c>
      <c r="D340">
        <v>4</v>
      </c>
      <c r="E340" t="s">
        <v>30</v>
      </c>
    </row>
    <row r="341" spans="1:5" x14ac:dyDescent="0.35">
      <c r="A341" s="1">
        <v>45997</v>
      </c>
      <c r="B341">
        <v>12</v>
      </c>
      <c r="C341" t="s">
        <v>32</v>
      </c>
      <c r="D341">
        <v>4</v>
      </c>
      <c r="E341" t="s">
        <v>30</v>
      </c>
    </row>
    <row r="342" spans="1:5" x14ac:dyDescent="0.35">
      <c r="A342" s="1">
        <v>45998</v>
      </c>
      <c r="B342">
        <v>12</v>
      </c>
      <c r="C342" t="s">
        <v>32</v>
      </c>
      <c r="D342">
        <v>4</v>
      </c>
      <c r="E342" t="s">
        <v>30</v>
      </c>
    </row>
    <row r="343" spans="1:5" x14ac:dyDescent="0.35">
      <c r="A343" s="1">
        <v>45999</v>
      </c>
      <c r="B343">
        <v>12</v>
      </c>
      <c r="C343" t="s">
        <v>32</v>
      </c>
      <c r="D343">
        <v>4</v>
      </c>
      <c r="E343" t="s">
        <v>30</v>
      </c>
    </row>
    <row r="344" spans="1:5" x14ac:dyDescent="0.35">
      <c r="A344" s="1">
        <v>46000</v>
      </c>
      <c r="B344">
        <v>12</v>
      </c>
      <c r="C344" t="s">
        <v>32</v>
      </c>
      <c r="D344">
        <v>4</v>
      </c>
      <c r="E344" t="s">
        <v>30</v>
      </c>
    </row>
    <row r="345" spans="1:5" x14ac:dyDescent="0.35">
      <c r="A345" s="1">
        <v>46001</v>
      </c>
      <c r="B345">
        <v>12</v>
      </c>
      <c r="C345" t="s">
        <v>32</v>
      </c>
      <c r="D345">
        <v>4</v>
      </c>
      <c r="E345" t="s">
        <v>30</v>
      </c>
    </row>
    <row r="346" spans="1:5" x14ac:dyDescent="0.35">
      <c r="A346" s="1">
        <v>46002</v>
      </c>
      <c r="B346">
        <v>12</v>
      </c>
      <c r="C346" t="s">
        <v>32</v>
      </c>
      <c r="D346">
        <v>4</v>
      </c>
      <c r="E346" t="s">
        <v>30</v>
      </c>
    </row>
    <row r="347" spans="1:5" x14ac:dyDescent="0.35">
      <c r="A347" s="1">
        <v>46003</v>
      </c>
      <c r="B347">
        <v>12</v>
      </c>
      <c r="C347" t="s">
        <v>32</v>
      </c>
      <c r="D347">
        <v>4</v>
      </c>
      <c r="E347" t="s">
        <v>30</v>
      </c>
    </row>
    <row r="348" spans="1:5" x14ac:dyDescent="0.35">
      <c r="A348" s="1">
        <v>46004</v>
      </c>
      <c r="B348">
        <v>12</v>
      </c>
      <c r="C348" t="s">
        <v>32</v>
      </c>
      <c r="D348">
        <v>4</v>
      </c>
      <c r="E348" t="s">
        <v>30</v>
      </c>
    </row>
    <row r="349" spans="1:5" x14ac:dyDescent="0.35">
      <c r="A349" s="1">
        <v>46005</v>
      </c>
      <c r="B349">
        <v>12</v>
      </c>
      <c r="C349" t="s">
        <v>32</v>
      </c>
      <c r="D349">
        <v>4</v>
      </c>
      <c r="E349" t="s">
        <v>30</v>
      </c>
    </row>
    <row r="350" spans="1:5" x14ac:dyDescent="0.35">
      <c r="A350" s="1">
        <v>46006</v>
      </c>
      <c r="B350">
        <v>12</v>
      </c>
      <c r="C350" t="s">
        <v>32</v>
      </c>
      <c r="D350">
        <v>4</v>
      </c>
      <c r="E350" t="s">
        <v>30</v>
      </c>
    </row>
    <row r="351" spans="1:5" x14ac:dyDescent="0.35">
      <c r="A351" s="1">
        <v>46007</v>
      </c>
      <c r="B351">
        <v>12</v>
      </c>
      <c r="C351" t="s">
        <v>32</v>
      </c>
      <c r="D351">
        <v>4</v>
      </c>
      <c r="E351" t="s">
        <v>30</v>
      </c>
    </row>
    <row r="352" spans="1:5" x14ac:dyDescent="0.35">
      <c r="A352" s="1">
        <v>46008</v>
      </c>
      <c r="B352">
        <v>12</v>
      </c>
      <c r="C352" t="s">
        <v>32</v>
      </c>
      <c r="D352">
        <v>4</v>
      </c>
      <c r="E352" t="s">
        <v>30</v>
      </c>
    </row>
    <row r="353" spans="1:5" x14ac:dyDescent="0.35">
      <c r="A353" s="1">
        <v>46009</v>
      </c>
      <c r="B353">
        <v>12</v>
      </c>
      <c r="C353" t="s">
        <v>32</v>
      </c>
      <c r="D353">
        <v>4</v>
      </c>
      <c r="E353" t="s">
        <v>30</v>
      </c>
    </row>
    <row r="354" spans="1:5" x14ac:dyDescent="0.35">
      <c r="A354" s="1">
        <v>46010</v>
      </c>
      <c r="B354">
        <v>12</v>
      </c>
      <c r="C354" t="s">
        <v>32</v>
      </c>
      <c r="D354">
        <v>4</v>
      </c>
      <c r="E354" t="s">
        <v>30</v>
      </c>
    </row>
    <row r="355" spans="1:5" x14ac:dyDescent="0.35">
      <c r="A355" s="1">
        <v>46011</v>
      </c>
      <c r="B355">
        <v>12</v>
      </c>
      <c r="C355" t="s">
        <v>32</v>
      </c>
      <c r="D355">
        <v>4</v>
      </c>
      <c r="E355" t="s">
        <v>30</v>
      </c>
    </row>
    <row r="356" spans="1:5" x14ac:dyDescent="0.35">
      <c r="A356" s="1">
        <v>46012</v>
      </c>
      <c r="B356">
        <v>12</v>
      </c>
      <c r="C356" t="s">
        <v>32</v>
      </c>
      <c r="D356">
        <v>4</v>
      </c>
      <c r="E356" t="s">
        <v>30</v>
      </c>
    </row>
    <row r="357" spans="1:5" x14ac:dyDescent="0.35">
      <c r="A357" s="1">
        <v>46013</v>
      </c>
      <c r="B357">
        <v>12</v>
      </c>
      <c r="C357" t="s">
        <v>32</v>
      </c>
      <c r="D357">
        <v>4</v>
      </c>
      <c r="E357" t="s">
        <v>30</v>
      </c>
    </row>
    <row r="358" spans="1:5" x14ac:dyDescent="0.35">
      <c r="A358" s="1">
        <v>46014</v>
      </c>
      <c r="B358">
        <v>12</v>
      </c>
      <c r="C358" t="s">
        <v>32</v>
      </c>
      <c r="D358">
        <v>4</v>
      </c>
      <c r="E358" t="s">
        <v>30</v>
      </c>
    </row>
    <row r="359" spans="1:5" x14ac:dyDescent="0.35">
      <c r="A359" s="1">
        <v>46015</v>
      </c>
      <c r="B359">
        <v>12</v>
      </c>
      <c r="C359" t="s">
        <v>32</v>
      </c>
      <c r="D359">
        <v>4</v>
      </c>
      <c r="E359" t="s">
        <v>30</v>
      </c>
    </row>
    <row r="360" spans="1:5" x14ac:dyDescent="0.35">
      <c r="A360" s="1">
        <v>46016</v>
      </c>
      <c r="B360">
        <v>12</v>
      </c>
      <c r="C360" t="s">
        <v>32</v>
      </c>
      <c r="D360">
        <v>4</v>
      </c>
      <c r="E360" t="s">
        <v>30</v>
      </c>
    </row>
    <row r="361" spans="1:5" x14ac:dyDescent="0.35">
      <c r="A361" s="1">
        <v>46017</v>
      </c>
      <c r="B361">
        <v>12</v>
      </c>
      <c r="C361" t="s">
        <v>32</v>
      </c>
      <c r="D361">
        <v>4</v>
      </c>
      <c r="E361" t="s">
        <v>30</v>
      </c>
    </row>
    <row r="362" spans="1:5" x14ac:dyDescent="0.35">
      <c r="A362" s="1">
        <v>46018</v>
      </c>
      <c r="B362">
        <v>12</v>
      </c>
      <c r="C362" t="s">
        <v>32</v>
      </c>
      <c r="D362">
        <v>4</v>
      </c>
      <c r="E362" t="s">
        <v>30</v>
      </c>
    </row>
    <row r="363" spans="1:5" x14ac:dyDescent="0.35">
      <c r="A363" s="1">
        <v>46019</v>
      </c>
      <c r="B363">
        <v>12</v>
      </c>
      <c r="C363" t="s">
        <v>32</v>
      </c>
      <c r="D363">
        <v>4</v>
      </c>
      <c r="E363" t="s">
        <v>30</v>
      </c>
    </row>
    <row r="364" spans="1:5" x14ac:dyDescent="0.35">
      <c r="A364" s="1">
        <v>46020</v>
      </c>
      <c r="B364">
        <v>12</v>
      </c>
      <c r="C364" t="s">
        <v>32</v>
      </c>
      <c r="D364">
        <v>4</v>
      </c>
      <c r="E364" t="s">
        <v>30</v>
      </c>
    </row>
    <row r="365" spans="1:5" x14ac:dyDescent="0.35">
      <c r="A365" s="1">
        <v>46021</v>
      </c>
      <c r="B365">
        <v>12</v>
      </c>
      <c r="C365" t="s">
        <v>32</v>
      </c>
      <c r="D365">
        <v>4</v>
      </c>
      <c r="E365" t="s">
        <v>30</v>
      </c>
    </row>
    <row r="366" spans="1:5" x14ac:dyDescent="0.35">
      <c r="A366" s="1">
        <v>46022</v>
      </c>
      <c r="B366">
        <v>12</v>
      </c>
      <c r="C366" t="s">
        <v>32</v>
      </c>
      <c r="D366">
        <v>4</v>
      </c>
      <c r="E366" t="s">
        <v>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8737-564B-4B57-AB77-DADAB7FD4ED3}">
  <dimension ref="A1:C258"/>
  <sheetViews>
    <sheetView workbookViewId="0">
      <selection activeCell="G14" sqref="G14"/>
    </sheetView>
  </sheetViews>
  <sheetFormatPr defaultRowHeight="14.5" x14ac:dyDescent="0.35"/>
  <cols>
    <col min="1" max="1" width="10.08984375" bestFit="1" customWidth="1"/>
    <col min="3" max="3" width="11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45659</v>
      </c>
      <c r="B2">
        <v>13930</v>
      </c>
      <c r="C2">
        <v>497</v>
      </c>
    </row>
    <row r="3" spans="1:3" x14ac:dyDescent="0.35">
      <c r="A3">
        <v>45660</v>
      </c>
      <c r="B3">
        <v>17780</v>
      </c>
      <c r="C3">
        <v>2385</v>
      </c>
    </row>
    <row r="4" spans="1:3" x14ac:dyDescent="0.35">
      <c r="A4">
        <v>45663</v>
      </c>
      <c r="B4">
        <v>20115</v>
      </c>
      <c r="C4">
        <v>253</v>
      </c>
    </row>
    <row r="5" spans="1:3" x14ac:dyDescent="0.35">
      <c r="A5">
        <v>45664</v>
      </c>
      <c r="B5">
        <v>13185</v>
      </c>
      <c r="C5">
        <v>544</v>
      </c>
    </row>
    <row r="6" spans="1:3" x14ac:dyDescent="0.35">
      <c r="A6">
        <v>45665</v>
      </c>
      <c r="B6">
        <v>8810</v>
      </c>
      <c r="C6">
        <v>583.5</v>
      </c>
    </row>
    <row r="7" spans="1:3" x14ac:dyDescent="0.35">
      <c r="A7">
        <v>45666</v>
      </c>
      <c r="B7">
        <v>13630</v>
      </c>
      <c r="C7">
        <v>812.23</v>
      </c>
    </row>
    <row r="8" spans="1:3" x14ac:dyDescent="0.35">
      <c r="A8">
        <v>45667</v>
      </c>
      <c r="B8">
        <v>12540</v>
      </c>
      <c r="C8">
        <v>1143.5</v>
      </c>
    </row>
    <row r="9" spans="1:3" x14ac:dyDescent="0.35">
      <c r="A9">
        <v>45670</v>
      </c>
      <c r="B9">
        <v>16115</v>
      </c>
      <c r="C9">
        <v>1127</v>
      </c>
    </row>
    <row r="10" spans="1:3" x14ac:dyDescent="0.35">
      <c r="A10">
        <v>45671</v>
      </c>
      <c r="B10">
        <v>13565</v>
      </c>
      <c r="C10">
        <v>274</v>
      </c>
    </row>
    <row r="11" spans="1:3" x14ac:dyDescent="0.35">
      <c r="A11">
        <v>45672</v>
      </c>
      <c r="B11">
        <v>10785</v>
      </c>
      <c r="C11">
        <v>858.5</v>
      </c>
    </row>
    <row r="12" spans="1:3" x14ac:dyDescent="0.35">
      <c r="A12">
        <v>45673</v>
      </c>
      <c r="B12">
        <v>10684</v>
      </c>
      <c r="C12">
        <v>963</v>
      </c>
    </row>
    <row r="13" spans="1:3" x14ac:dyDescent="0.35">
      <c r="A13">
        <v>45674</v>
      </c>
      <c r="B13">
        <v>10335</v>
      </c>
      <c r="C13">
        <v>1093</v>
      </c>
    </row>
    <row r="14" spans="1:3" x14ac:dyDescent="0.35">
      <c r="A14">
        <v>45677</v>
      </c>
      <c r="B14">
        <v>15270</v>
      </c>
      <c r="C14">
        <v>1058</v>
      </c>
    </row>
    <row r="15" spans="1:3" x14ac:dyDescent="0.35">
      <c r="A15">
        <v>45678</v>
      </c>
      <c r="B15">
        <v>11775</v>
      </c>
      <c r="C15">
        <v>820</v>
      </c>
    </row>
    <row r="16" spans="1:3" x14ac:dyDescent="0.35">
      <c r="A16">
        <v>45679</v>
      </c>
      <c r="B16">
        <v>8908</v>
      </c>
      <c r="C16">
        <v>260.5</v>
      </c>
    </row>
    <row r="17" spans="1:3" x14ac:dyDescent="0.35">
      <c r="A17">
        <v>45680</v>
      </c>
      <c r="B17">
        <v>9470</v>
      </c>
      <c r="C17">
        <v>2294</v>
      </c>
    </row>
    <row r="18" spans="1:3" x14ac:dyDescent="0.35">
      <c r="A18">
        <v>45681</v>
      </c>
      <c r="B18">
        <v>8795</v>
      </c>
      <c r="C18">
        <v>346.5</v>
      </c>
    </row>
    <row r="19" spans="1:3" x14ac:dyDescent="0.35">
      <c r="A19">
        <v>45684</v>
      </c>
      <c r="B19">
        <v>12375</v>
      </c>
      <c r="C19">
        <v>1528</v>
      </c>
    </row>
    <row r="20" spans="1:3" x14ac:dyDescent="0.35">
      <c r="A20">
        <v>45685</v>
      </c>
      <c r="B20">
        <v>15565</v>
      </c>
      <c r="C20">
        <v>2402</v>
      </c>
    </row>
    <row r="21" spans="1:3" x14ac:dyDescent="0.35">
      <c r="A21">
        <v>45686</v>
      </c>
      <c r="B21">
        <v>12650</v>
      </c>
      <c r="C21">
        <v>473.5</v>
      </c>
    </row>
    <row r="22" spans="1:3" x14ac:dyDescent="0.35">
      <c r="A22">
        <v>45687</v>
      </c>
      <c r="B22">
        <v>12331</v>
      </c>
      <c r="C22">
        <v>2153.5</v>
      </c>
    </row>
    <row r="23" spans="1:3" x14ac:dyDescent="0.35">
      <c r="A23">
        <v>45688</v>
      </c>
      <c r="B23">
        <v>8752</v>
      </c>
      <c r="C23">
        <v>2503</v>
      </c>
    </row>
    <row r="24" spans="1:3" x14ac:dyDescent="0.35">
      <c r="A24">
        <v>45691</v>
      </c>
      <c r="B24">
        <v>19380</v>
      </c>
      <c r="C24">
        <v>756</v>
      </c>
    </row>
    <row r="25" spans="1:3" x14ac:dyDescent="0.35">
      <c r="A25">
        <v>45692</v>
      </c>
      <c r="B25">
        <v>14060</v>
      </c>
      <c r="C25">
        <v>464</v>
      </c>
    </row>
    <row r="26" spans="1:3" x14ac:dyDescent="0.35">
      <c r="A26">
        <v>45693</v>
      </c>
      <c r="B26">
        <v>13575</v>
      </c>
      <c r="C26">
        <v>955</v>
      </c>
    </row>
    <row r="27" spans="1:3" x14ac:dyDescent="0.35">
      <c r="A27">
        <v>45694</v>
      </c>
      <c r="B27">
        <v>8210</v>
      </c>
      <c r="C27">
        <v>1490</v>
      </c>
    </row>
    <row r="28" spans="1:3" x14ac:dyDescent="0.35">
      <c r="A28">
        <v>45695</v>
      </c>
      <c r="B28">
        <v>8855</v>
      </c>
      <c r="C28">
        <v>699.5</v>
      </c>
    </row>
    <row r="29" spans="1:3" x14ac:dyDescent="0.35">
      <c r="A29">
        <v>45698</v>
      </c>
      <c r="B29">
        <v>14548</v>
      </c>
      <c r="C29">
        <v>3326</v>
      </c>
    </row>
    <row r="30" spans="1:3" x14ac:dyDescent="0.35">
      <c r="A30">
        <v>45699</v>
      </c>
      <c r="B30">
        <v>19435</v>
      </c>
      <c r="C30">
        <v>241.5</v>
      </c>
    </row>
    <row r="31" spans="1:3" x14ac:dyDescent="0.35">
      <c r="A31">
        <v>45700</v>
      </c>
      <c r="B31">
        <v>6080</v>
      </c>
      <c r="C31">
        <v>723</v>
      </c>
    </row>
    <row r="32" spans="1:3" x14ac:dyDescent="0.35">
      <c r="A32">
        <v>45701</v>
      </c>
      <c r="B32">
        <v>10587.5</v>
      </c>
      <c r="C32">
        <v>1164.23</v>
      </c>
    </row>
    <row r="33" spans="1:3" x14ac:dyDescent="0.35">
      <c r="A33">
        <v>45702</v>
      </c>
      <c r="B33">
        <v>9500</v>
      </c>
      <c r="C33">
        <v>1357.5</v>
      </c>
    </row>
    <row r="34" spans="1:3" x14ac:dyDescent="0.35">
      <c r="A34">
        <v>45705</v>
      </c>
      <c r="B34">
        <v>21020</v>
      </c>
      <c r="C34">
        <v>379</v>
      </c>
    </row>
    <row r="35" spans="1:3" x14ac:dyDescent="0.35">
      <c r="A35">
        <v>45706</v>
      </c>
      <c r="B35">
        <v>10280</v>
      </c>
      <c r="C35">
        <v>463</v>
      </c>
    </row>
    <row r="36" spans="1:3" x14ac:dyDescent="0.35">
      <c r="A36">
        <v>45707</v>
      </c>
      <c r="B36">
        <v>11700</v>
      </c>
      <c r="C36">
        <v>1802</v>
      </c>
    </row>
    <row r="37" spans="1:3" x14ac:dyDescent="0.35">
      <c r="A37">
        <v>45708</v>
      </c>
      <c r="B37">
        <v>10930</v>
      </c>
      <c r="C37">
        <v>2115</v>
      </c>
    </row>
    <row r="38" spans="1:3" x14ac:dyDescent="0.35">
      <c r="A38">
        <v>45709</v>
      </c>
      <c r="B38">
        <v>10943</v>
      </c>
      <c r="C38">
        <v>236</v>
      </c>
    </row>
    <row r="39" spans="1:3" x14ac:dyDescent="0.35">
      <c r="A39">
        <v>45712</v>
      </c>
      <c r="B39">
        <v>15097</v>
      </c>
      <c r="C39">
        <v>1342</v>
      </c>
    </row>
    <row r="40" spans="1:3" x14ac:dyDescent="0.35">
      <c r="A40">
        <v>45713</v>
      </c>
      <c r="B40">
        <v>11915</v>
      </c>
      <c r="C40">
        <v>560</v>
      </c>
    </row>
    <row r="41" spans="1:3" x14ac:dyDescent="0.35">
      <c r="A41">
        <v>45714</v>
      </c>
      <c r="B41">
        <v>16925</v>
      </c>
      <c r="C41">
        <v>1634</v>
      </c>
    </row>
    <row r="42" spans="1:3" x14ac:dyDescent="0.35">
      <c r="A42">
        <v>45715</v>
      </c>
      <c r="B42">
        <v>12920</v>
      </c>
      <c r="C42">
        <v>4113</v>
      </c>
    </row>
    <row r="43" spans="1:3" x14ac:dyDescent="0.35">
      <c r="A43">
        <v>45716</v>
      </c>
      <c r="B43">
        <v>10065</v>
      </c>
      <c r="C43">
        <v>1408</v>
      </c>
    </row>
    <row r="44" spans="1:3" x14ac:dyDescent="0.35">
      <c r="A44">
        <v>45719</v>
      </c>
      <c r="B44">
        <v>19479</v>
      </c>
      <c r="C44">
        <v>667.5</v>
      </c>
    </row>
    <row r="45" spans="1:3" x14ac:dyDescent="0.35">
      <c r="A45">
        <v>45720</v>
      </c>
      <c r="B45">
        <v>13125</v>
      </c>
      <c r="C45">
        <v>2832</v>
      </c>
    </row>
    <row r="46" spans="1:3" x14ac:dyDescent="0.35">
      <c r="A46">
        <v>45721</v>
      </c>
      <c r="B46">
        <v>11645</v>
      </c>
      <c r="C46">
        <v>1590.5</v>
      </c>
    </row>
    <row r="47" spans="1:3" x14ac:dyDescent="0.35">
      <c r="A47">
        <v>45722</v>
      </c>
      <c r="B47">
        <v>7390</v>
      </c>
      <c r="C47">
        <v>290</v>
      </c>
    </row>
    <row r="48" spans="1:3" x14ac:dyDescent="0.35">
      <c r="A48">
        <v>45723</v>
      </c>
      <c r="B48">
        <v>15980</v>
      </c>
      <c r="C48">
        <v>263</v>
      </c>
    </row>
    <row r="49" spans="1:3" x14ac:dyDescent="0.35">
      <c r="A49">
        <v>45726</v>
      </c>
      <c r="B49">
        <v>18740</v>
      </c>
      <c r="C49">
        <v>1447.5</v>
      </c>
    </row>
    <row r="50" spans="1:3" x14ac:dyDescent="0.35">
      <c r="A50">
        <v>45727</v>
      </c>
      <c r="B50">
        <v>15585</v>
      </c>
      <c r="C50">
        <v>791.5</v>
      </c>
    </row>
    <row r="51" spans="1:3" x14ac:dyDescent="0.35">
      <c r="A51">
        <v>45728</v>
      </c>
      <c r="B51">
        <v>12520</v>
      </c>
      <c r="C51">
        <v>1350</v>
      </c>
    </row>
    <row r="52" spans="1:3" x14ac:dyDescent="0.35">
      <c r="A52">
        <v>45729</v>
      </c>
      <c r="B52">
        <v>11445</v>
      </c>
      <c r="C52">
        <v>1205</v>
      </c>
    </row>
    <row r="53" spans="1:3" x14ac:dyDescent="0.35">
      <c r="A53">
        <v>45730</v>
      </c>
      <c r="B53">
        <v>12748</v>
      </c>
      <c r="C53">
        <v>2314.5</v>
      </c>
    </row>
    <row r="54" spans="1:3" x14ac:dyDescent="0.35">
      <c r="A54">
        <v>45733</v>
      </c>
      <c r="B54">
        <v>17030</v>
      </c>
      <c r="C54">
        <v>879</v>
      </c>
    </row>
    <row r="55" spans="1:3" x14ac:dyDescent="0.35">
      <c r="A55">
        <v>45734</v>
      </c>
      <c r="B55">
        <v>12955</v>
      </c>
      <c r="C55">
        <v>704</v>
      </c>
    </row>
    <row r="56" spans="1:3" x14ac:dyDescent="0.35">
      <c r="A56">
        <v>45735</v>
      </c>
      <c r="B56">
        <v>11120</v>
      </c>
      <c r="C56">
        <v>584.5</v>
      </c>
    </row>
    <row r="57" spans="1:3" x14ac:dyDescent="0.35">
      <c r="A57">
        <v>45736</v>
      </c>
      <c r="B57">
        <v>11865</v>
      </c>
      <c r="C57">
        <v>0</v>
      </c>
    </row>
    <row r="58" spans="1:3" x14ac:dyDescent="0.35">
      <c r="A58">
        <v>45737</v>
      </c>
      <c r="B58">
        <v>17130</v>
      </c>
      <c r="C58">
        <v>590</v>
      </c>
    </row>
    <row r="59" spans="1:3" x14ac:dyDescent="0.35">
      <c r="A59">
        <v>45740</v>
      </c>
      <c r="B59">
        <v>15225</v>
      </c>
      <c r="C59">
        <v>1061.5</v>
      </c>
    </row>
    <row r="60" spans="1:3" x14ac:dyDescent="0.35">
      <c r="A60">
        <v>45741</v>
      </c>
      <c r="B60">
        <v>10075</v>
      </c>
      <c r="C60">
        <v>641</v>
      </c>
    </row>
    <row r="61" spans="1:3" x14ac:dyDescent="0.35">
      <c r="A61">
        <v>45742</v>
      </c>
      <c r="B61">
        <v>10595</v>
      </c>
      <c r="C61">
        <v>376</v>
      </c>
    </row>
    <row r="62" spans="1:3" x14ac:dyDescent="0.35">
      <c r="A62">
        <v>45743</v>
      </c>
      <c r="B62">
        <v>8791</v>
      </c>
      <c r="C62">
        <v>238</v>
      </c>
    </row>
    <row r="63" spans="1:3" x14ac:dyDescent="0.35">
      <c r="A63">
        <v>45744</v>
      </c>
      <c r="B63">
        <v>11415</v>
      </c>
      <c r="C63">
        <v>1970</v>
      </c>
    </row>
    <row r="64" spans="1:3" x14ac:dyDescent="0.35">
      <c r="A64">
        <v>45747</v>
      </c>
      <c r="B64">
        <v>13958</v>
      </c>
      <c r="C64">
        <v>434</v>
      </c>
    </row>
    <row r="65" spans="1:3" x14ac:dyDescent="0.35">
      <c r="A65">
        <v>45748</v>
      </c>
      <c r="B65">
        <v>9440</v>
      </c>
      <c r="C65">
        <v>514.49</v>
      </c>
    </row>
    <row r="66" spans="1:3" x14ac:dyDescent="0.35">
      <c r="A66">
        <v>45749</v>
      </c>
      <c r="B66">
        <v>15295</v>
      </c>
      <c r="C66">
        <v>983.5</v>
      </c>
    </row>
    <row r="67" spans="1:3" x14ac:dyDescent="0.35">
      <c r="A67">
        <v>45750</v>
      </c>
      <c r="B67">
        <v>10985</v>
      </c>
      <c r="C67">
        <v>616.5</v>
      </c>
    </row>
    <row r="68" spans="1:3" x14ac:dyDescent="0.35">
      <c r="A68">
        <v>45751</v>
      </c>
      <c r="B68">
        <v>11670</v>
      </c>
      <c r="C68">
        <v>2923</v>
      </c>
    </row>
    <row r="69" spans="1:3" x14ac:dyDescent="0.35">
      <c r="A69">
        <v>45754</v>
      </c>
      <c r="B69">
        <v>21235</v>
      </c>
      <c r="C69">
        <v>927</v>
      </c>
    </row>
    <row r="70" spans="1:3" x14ac:dyDescent="0.35">
      <c r="A70">
        <v>45755</v>
      </c>
      <c r="B70">
        <v>10685</v>
      </c>
      <c r="C70">
        <v>968.91</v>
      </c>
    </row>
    <row r="71" spans="1:3" x14ac:dyDescent="0.35">
      <c r="A71">
        <v>45756</v>
      </c>
      <c r="B71">
        <v>12115</v>
      </c>
      <c r="C71">
        <v>575</v>
      </c>
    </row>
    <row r="72" spans="1:3" x14ac:dyDescent="0.35">
      <c r="A72">
        <v>45757</v>
      </c>
      <c r="B72">
        <v>9675</v>
      </c>
      <c r="C72">
        <v>370</v>
      </c>
    </row>
    <row r="73" spans="1:3" x14ac:dyDescent="0.35">
      <c r="A73">
        <v>45758</v>
      </c>
      <c r="B73">
        <v>12085</v>
      </c>
      <c r="C73">
        <v>1526.5</v>
      </c>
    </row>
    <row r="74" spans="1:3" x14ac:dyDescent="0.35">
      <c r="A74">
        <v>45761</v>
      </c>
      <c r="B74">
        <v>16882.5</v>
      </c>
      <c r="C74">
        <v>966</v>
      </c>
    </row>
    <row r="75" spans="1:3" x14ac:dyDescent="0.35">
      <c r="A75">
        <v>45762</v>
      </c>
      <c r="B75">
        <v>13135</v>
      </c>
      <c r="C75">
        <v>635</v>
      </c>
    </row>
    <row r="76" spans="1:3" x14ac:dyDescent="0.35">
      <c r="A76">
        <v>45763</v>
      </c>
      <c r="B76">
        <v>10515</v>
      </c>
      <c r="C76">
        <v>2568.5</v>
      </c>
    </row>
    <row r="77" spans="1:3" x14ac:dyDescent="0.35">
      <c r="A77">
        <v>45764</v>
      </c>
      <c r="B77">
        <v>12040</v>
      </c>
      <c r="C77">
        <v>678</v>
      </c>
    </row>
    <row r="78" spans="1:3" x14ac:dyDescent="0.35">
      <c r="A78">
        <v>45765</v>
      </c>
      <c r="B78">
        <v>13990</v>
      </c>
      <c r="C78">
        <v>404.5</v>
      </c>
    </row>
    <row r="79" spans="1:3" x14ac:dyDescent="0.35">
      <c r="A79">
        <v>45768</v>
      </c>
      <c r="B79">
        <v>17679.5</v>
      </c>
      <c r="C79">
        <v>1129</v>
      </c>
    </row>
    <row r="80" spans="1:3" x14ac:dyDescent="0.35">
      <c r="A80">
        <v>45769</v>
      </c>
      <c r="B80">
        <v>13460</v>
      </c>
      <c r="C80">
        <v>746</v>
      </c>
    </row>
    <row r="81" spans="1:3" x14ac:dyDescent="0.35">
      <c r="A81">
        <v>45770</v>
      </c>
      <c r="B81">
        <v>19725</v>
      </c>
      <c r="C81">
        <v>1009</v>
      </c>
    </row>
    <row r="82" spans="1:3" x14ac:dyDescent="0.35">
      <c r="A82">
        <v>45771</v>
      </c>
      <c r="B82">
        <v>8935</v>
      </c>
      <c r="C82">
        <v>1907</v>
      </c>
    </row>
    <row r="83" spans="1:3" x14ac:dyDescent="0.35">
      <c r="A83">
        <v>45772</v>
      </c>
      <c r="B83">
        <v>23919</v>
      </c>
      <c r="C83">
        <v>2192</v>
      </c>
    </row>
    <row r="84" spans="1:3" x14ac:dyDescent="0.35">
      <c r="A84">
        <v>45775</v>
      </c>
      <c r="B84">
        <v>14270</v>
      </c>
      <c r="C84">
        <v>627</v>
      </c>
    </row>
    <row r="85" spans="1:3" x14ac:dyDescent="0.35">
      <c r="A85">
        <v>45776</v>
      </c>
      <c r="B85">
        <v>14425</v>
      </c>
      <c r="C85">
        <v>1529</v>
      </c>
    </row>
    <row r="86" spans="1:3" x14ac:dyDescent="0.35">
      <c r="A86">
        <v>45777</v>
      </c>
      <c r="B86">
        <v>15540</v>
      </c>
      <c r="C86">
        <v>705</v>
      </c>
    </row>
    <row r="87" spans="1:3" x14ac:dyDescent="0.35">
      <c r="A87">
        <v>45778</v>
      </c>
      <c r="B87">
        <v>23440</v>
      </c>
      <c r="C87">
        <v>3096.5</v>
      </c>
    </row>
    <row r="88" spans="1:3" x14ac:dyDescent="0.35">
      <c r="A88">
        <v>45779</v>
      </c>
      <c r="B88">
        <v>23440</v>
      </c>
      <c r="C88">
        <v>3096.5</v>
      </c>
    </row>
    <row r="89" spans="1:3" x14ac:dyDescent="0.35">
      <c r="A89">
        <v>45782</v>
      </c>
      <c r="B89">
        <v>22830</v>
      </c>
      <c r="C89">
        <v>522</v>
      </c>
    </row>
    <row r="90" spans="1:3" x14ac:dyDescent="0.35">
      <c r="A90">
        <v>45783</v>
      </c>
      <c r="B90">
        <v>11450</v>
      </c>
      <c r="C90">
        <v>1554.5</v>
      </c>
    </row>
    <row r="91" spans="1:3" x14ac:dyDescent="0.35">
      <c r="A91">
        <v>45784</v>
      </c>
      <c r="B91">
        <v>13150</v>
      </c>
      <c r="C91">
        <v>2370</v>
      </c>
    </row>
    <row r="92" spans="1:3" x14ac:dyDescent="0.35">
      <c r="A92">
        <v>45785</v>
      </c>
      <c r="B92">
        <v>13390</v>
      </c>
      <c r="C92">
        <v>591</v>
      </c>
    </row>
    <row r="93" spans="1:3" x14ac:dyDescent="0.35">
      <c r="A93">
        <v>45786</v>
      </c>
      <c r="B93">
        <v>13190</v>
      </c>
      <c r="C93">
        <v>1602</v>
      </c>
    </row>
    <row r="94" spans="1:3" x14ac:dyDescent="0.35">
      <c r="A94">
        <v>45789</v>
      </c>
      <c r="B94">
        <v>17132</v>
      </c>
      <c r="C94">
        <v>592</v>
      </c>
    </row>
    <row r="95" spans="1:3" x14ac:dyDescent="0.35">
      <c r="A95">
        <v>45790</v>
      </c>
      <c r="B95">
        <v>13695</v>
      </c>
      <c r="C95">
        <v>596.33000000000004</v>
      </c>
    </row>
    <row r="96" spans="1:3" x14ac:dyDescent="0.35">
      <c r="A96">
        <v>45791</v>
      </c>
      <c r="B96">
        <v>12470</v>
      </c>
      <c r="C96">
        <v>595.5</v>
      </c>
    </row>
    <row r="97" spans="1:3" x14ac:dyDescent="0.35">
      <c r="A97">
        <v>45792</v>
      </c>
      <c r="B97">
        <v>9155</v>
      </c>
      <c r="C97">
        <v>2526</v>
      </c>
    </row>
    <row r="98" spans="1:3" x14ac:dyDescent="0.35">
      <c r="A98">
        <v>45793</v>
      </c>
      <c r="B98">
        <v>15380</v>
      </c>
      <c r="C98">
        <v>1588</v>
      </c>
    </row>
    <row r="99" spans="1:3" x14ac:dyDescent="0.35">
      <c r="A99">
        <v>45796</v>
      </c>
      <c r="B99">
        <v>13695</v>
      </c>
      <c r="C99">
        <v>831</v>
      </c>
    </row>
    <row r="100" spans="1:3" x14ac:dyDescent="0.35">
      <c r="A100">
        <v>45797</v>
      </c>
      <c r="B100">
        <v>12803</v>
      </c>
      <c r="C100">
        <v>1086</v>
      </c>
    </row>
    <row r="101" spans="1:3" x14ac:dyDescent="0.35">
      <c r="A101">
        <v>45798</v>
      </c>
      <c r="B101">
        <v>21327</v>
      </c>
      <c r="C101">
        <v>476</v>
      </c>
    </row>
    <row r="102" spans="1:3" x14ac:dyDescent="0.35">
      <c r="A102">
        <v>45799</v>
      </c>
      <c r="B102">
        <v>15660</v>
      </c>
      <c r="C102">
        <v>1710</v>
      </c>
    </row>
    <row r="103" spans="1:3" x14ac:dyDescent="0.35">
      <c r="A103">
        <v>45800</v>
      </c>
      <c r="B103">
        <v>15015</v>
      </c>
      <c r="C103">
        <v>791</v>
      </c>
    </row>
    <row r="104" spans="1:3" x14ac:dyDescent="0.35">
      <c r="A104">
        <v>45803</v>
      </c>
      <c r="B104">
        <v>13644</v>
      </c>
      <c r="C104">
        <v>517</v>
      </c>
    </row>
    <row r="105" spans="1:3" x14ac:dyDescent="0.35">
      <c r="A105">
        <v>45804</v>
      </c>
      <c r="B105">
        <v>15725</v>
      </c>
      <c r="C105">
        <v>3125</v>
      </c>
    </row>
    <row r="106" spans="1:3" x14ac:dyDescent="0.35">
      <c r="A106">
        <v>45805</v>
      </c>
      <c r="B106">
        <v>13520</v>
      </c>
      <c r="C106">
        <v>603</v>
      </c>
    </row>
    <row r="107" spans="1:3" x14ac:dyDescent="0.35">
      <c r="A107">
        <v>45806</v>
      </c>
      <c r="B107">
        <v>11287</v>
      </c>
      <c r="C107">
        <v>1159</v>
      </c>
    </row>
    <row r="108" spans="1:3" x14ac:dyDescent="0.35">
      <c r="A108">
        <v>45807</v>
      </c>
      <c r="B108">
        <v>20420</v>
      </c>
      <c r="C108">
        <v>601</v>
      </c>
    </row>
    <row r="109" spans="1:3" x14ac:dyDescent="0.35">
      <c r="A109">
        <v>45810</v>
      </c>
      <c r="B109">
        <v>17220</v>
      </c>
      <c r="C109">
        <v>658</v>
      </c>
    </row>
    <row r="110" spans="1:3" x14ac:dyDescent="0.35">
      <c r="A110">
        <v>45811</v>
      </c>
      <c r="B110">
        <v>12925</v>
      </c>
      <c r="C110">
        <v>645</v>
      </c>
    </row>
    <row r="111" spans="1:3" x14ac:dyDescent="0.35">
      <c r="A111">
        <v>45812</v>
      </c>
      <c r="B111">
        <v>11615</v>
      </c>
      <c r="C111">
        <v>729</v>
      </c>
    </row>
    <row r="112" spans="1:3" x14ac:dyDescent="0.35">
      <c r="A112">
        <v>45813</v>
      </c>
      <c r="B112">
        <v>12572</v>
      </c>
      <c r="C112">
        <v>840</v>
      </c>
    </row>
    <row r="113" spans="1:3" x14ac:dyDescent="0.35">
      <c r="A113">
        <v>45814</v>
      </c>
      <c r="B113">
        <v>22905</v>
      </c>
      <c r="C113">
        <v>781</v>
      </c>
    </row>
    <row r="114" spans="1:3" x14ac:dyDescent="0.35">
      <c r="A114">
        <v>45817</v>
      </c>
      <c r="B114">
        <v>13045</v>
      </c>
      <c r="C114">
        <v>1008</v>
      </c>
    </row>
    <row r="115" spans="1:3" x14ac:dyDescent="0.35">
      <c r="A115">
        <v>45818</v>
      </c>
      <c r="B115">
        <v>25705</v>
      </c>
      <c r="C115">
        <v>1064</v>
      </c>
    </row>
    <row r="116" spans="1:3" x14ac:dyDescent="0.35">
      <c r="A116">
        <v>45819</v>
      </c>
      <c r="B116">
        <v>10895</v>
      </c>
      <c r="C116">
        <v>1225</v>
      </c>
    </row>
    <row r="117" spans="1:3" x14ac:dyDescent="0.35">
      <c r="A117">
        <v>45820</v>
      </c>
      <c r="B117">
        <v>14675</v>
      </c>
      <c r="C117">
        <v>1672.1</v>
      </c>
    </row>
    <row r="118" spans="1:3" x14ac:dyDescent="0.35">
      <c r="A118">
        <v>45821</v>
      </c>
      <c r="B118">
        <v>16926</v>
      </c>
      <c r="C118">
        <v>1192.5</v>
      </c>
    </row>
    <row r="119" spans="1:3" x14ac:dyDescent="0.35">
      <c r="A119">
        <v>45824</v>
      </c>
      <c r="B119">
        <v>13231.5</v>
      </c>
      <c r="C119">
        <v>408.5</v>
      </c>
    </row>
    <row r="120" spans="1:3" x14ac:dyDescent="0.35">
      <c r="A120">
        <v>45825</v>
      </c>
      <c r="B120">
        <v>16105</v>
      </c>
      <c r="C120">
        <v>325</v>
      </c>
    </row>
    <row r="121" spans="1:3" x14ac:dyDescent="0.35">
      <c r="A121">
        <v>45826</v>
      </c>
      <c r="B121">
        <v>15982</v>
      </c>
      <c r="C121">
        <v>888.5</v>
      </c>
    </row>
    <row r="122" spans="1:3" x14ac:dyDescent="0.35">
      <c r="A122">
        <v>45827</v>
      </c>
      <c r="B122">
        <v>10590</v>
      </c>
      <c r="C122">
        <v>680</v>
      </c>
    </row>
    <row r="123" spans="1:3" x14ac:dyDescent="0.35">
      <c r="A123">
        <v>45828</v>
      </c>
      <c r="B123">
        <v>14405</v>
      </c>
      <c r="C123">
        <v>811</v>
      </c>
    </row>
    <row r="124" spans="1:3" x14ac:dyDescent="0.35">
      <c r="A124">
        <v>45831</v>
      </c>
      <c r="B124">
        <v>14135</v>
      </c>
      <c r="C124">
        <v>387</v>
      </c>
    </row>
    <row r="125" spans="1:3" x14ac:dyDescent="0.35">
      <c r="A125">
        <v>45832</v>
      </c>
      <c r="B125">
        <v>10395</v>
      </c>
      <c r="C125">
        <v>395</v>
      </c>
    </row>
    <row r="126" spans="1:3" x14ac:dyDescent="0.35">
      <c r="A126">
        <v>45833</v>
      </c>
      <c r="B126">
        <v>10755</v>
      </c>
      <c r="C126">
        <v>484</v>
      </c>
    </row>
    <row r="127" spans="1:3" x14ac:dyDescent="0.35">
      <c r="A127">
        <v>45834</v>
      </c>
      <c r="B127">
        <v>16379</v>
      </c>
      <c r="C127">
        <v>971</v>
      </c>
    </row>
    <row r="128" spans="1:3" x14ac:dyDescent="0.35">
      <c r="A128">
        <v>45835</v>
      </c>
      <c r="B128">
        <v>21746</v>
      </c>
      <c r="C128">
        <v>899</v>
      </c>
    </row>
    <row r="129" spans="1:3" x14ac:dyDescent="0.35">
      <c r="A129">
        <v>45838</v>
      </c>
      <c r="B129">
        <v>11681</v>
      </c>
      <c r="C129">
        <v>530</v>
      </c>
    </row>
    <row r="130" spans="1:3" x14ac:dyDescent="0.35">
      <c r="A130">
        <v>45839</v>
      </c>
      <c r="B130">
        <v>17812</v>
      </c>
      <c r="C130">
        <v>1006</v>
      </c>
    </row>
    <row r="131" spans="1:3" x14ac:dyDescent="0.35">
      <c r="A131">
        <v>45840</v>
      </c>
      <c r="B131">
        <v>13098</v>
      </c>
      <c r="C131">
        <v>1056</v>
      </c>
    </row>
    <row r="132" spans="1:3" x14ac:dyDescent="0.35">
      <c r="A132">
        <v>45841</v>
      </c>
      <c r="B132">
        <v>6955</v>
      </c>
      <c r="C132">
        <v>284</v>
      </c>
    </row>
    <row r="133" spans="1:3" x14ac:dyDescent="0.35">
      <c r="A133">
        <v>45842</v>
      </c>
      <c r="B133">
        <v>22030</v>
      </c>
      <c r="C133">
        <v>1141</v>
      </c>
    </row>
    <row r="134" spans="1:3" x14ac:dyDescent="0.35">
      <c r="A134">
        <v>45845</v>
      </c>
      <c r="B134">
        <v>16125</v>
      </c>
      <c r="C134">
        <v>1102.5</v>
      </c>
    </row>
    <row r="135" spans="1:3" x14ac:dyDescent="0.35">
      <c r="A135">
        <v>45846</v>
      </c>
      <c r="B135">
        <v>11435</v>
      </c>
      <c r="C135">
        <v>1187</v>
      </c>
    </row>
    <row r="136" spans="1:3" x14ac:dyDescent="0.35">
      <c r="A136">
        <v>45847</v>
      </c>
      <c r="B136">
        <v>14100</v>
      </c>
      <c r="C136">
        <v>1578.7</v>
      </c>
    </row>
    <row r="137" spans="1:3" x14ac:dyDescent="0.35">
      <c r="A137">
        <v>45848</v>
      </c>
      <c r="B137">
        <v>12225</v>
      </c>
      <c r="C137">
        <v>1331</v>
      </c>
    </row>
    <row r="138" spans="1:3" x14ac:dyDescent="0.35">
      <c r="A138">
        <v>45849</v>
      </c>
      <c r="B138">
        <v>21060</v>
      </c>
      <c r="C138">
        <v>963.5</v>
      </c>
    </row>
    <row r="139" spans="1:3" x14ac:dyDescent="0.35">
      <c r="A139">
        <v>45852</v>
      </c>
      <c r="B139">
        <v>16107</v>
      </c>
      <c r="C139">
        <v>510.5</v>
      </c>
    </row>
    <row r="140" spans="1:3" x14ac:dyDescent="0.35">
      <c r="A140">
        <v>45853</v>
      </c>
      <c r="B140">
        <v>6870</v>
      </c>
      <c r="C140">
        <v>714</v>
      </c>
    </row>
    <row r="141" spans="1:3" x14ac:dyDescent="0.35">
      <c r="A141">
        <v>45854</v>
      </c>
      <c r="B141">
        <v>11145</v>
      </c>
      <c r="C141">
        <v>702</v>
      </c>
    </row>
    <row r="142" spans="1:3" x14ac:dyDescent="0.35">
      <c r="A142">
        <v>45855</v>
      </c>
      <c r="B142">
        <v>14170</v>
      </c>
      <c r="C142">
        <v>1071</v>
      </c>
    </row>
    <row r="143" spans="1:3" x14ac:dyDescent="0.35">
      <c r="A143">
        <v>45856</v>
      </c>
      <c r="B143">
        <v>15470</v>
      </c>
      <c r="C143">
        <v>873</v>
      </c>
    </row>
    <row r="144" spans="1:3" x14ac:dyDescent="0.35">
      <c r="A144">
        <v>45859</v>
      </c>
      <c r="B144">
        <v>10565</v>
      </c>
      <c r="C144">
        <v>854</v>
      </c>
    </row>
    <row r="145" spans="1:3" x14ac:dyDescent="0.35">
      <c r="A145">
        <v>45860</v>
      </c>
      <c r="B145">
        <v>13470</v>
      </c>
      <c r="C145">
        <v>478.5</v>
      </c>
    </row>
    <row r="146" spans="1:3" x14ac:dyDescent="0.35">
      <c r="A146">
        <v>45861</v>
      </c>
      <c r="B146">
        <v>15770</v>
      </c>
      <c r="C146">
        <v>718</v>
      </c>
    </row>
    <row r="147" spans="1:3" x14ac:dyDescent="0.35">
      <c r="A147">
        <v>45862</v>
      </c>
      <c r="B147">
        <v>9865</v>
      </c>
      <c r="C147">
        <v>957</v>
      </c>
    </row>
    <row r="148" spans="1:3" x14ac:dyDescent="0.35">
      <c r="A148">
        <v>45863</v>
      </c>
      <c r="B148">
        <v>19583</v>
      </c>
      <c r="C148">
        <v>759.5</v>
      </c>
    </row>
    <row r="149" spans="1:3" x14ac:dyDescent="0.35">
      <c r="A149">
        <v>45866</v>
      </c>
      <c r="B149">
        <v>21715</v>
      </c>
      <c r="C149">
        <v>668.5</v>
      </c>
    </row>
    <row r="150" spans="1:3" x14ac:dyDescent="0.35">
      <c r="A150">
        <v>45867</v>
      </c>
      <c r="B150">
        <v>11744</v>
      </c>
      <c r="C150">
        <v>590</v>
      </c>
    </row>
    <row r="151" spans="1:3" x14ac:dyDescent="0.35">
      <c r="A151">
        <v>45868</v>
      </c>
      <c r="B151">
        <v>10720</v>
      </c>
      <c r="C151">
        <v>855</v>
      </c>
    </row>
    <row r="152" spans="1:3" x14ac:dyDescent="0.35">
      <c r="A152">
        <v>45869</v>
      </c>
      <c r="B152">
        <v>15225</v>
      </c>
      <c r="C152">
        <v>990</v>
      </c>
    </row>
    <row r="153" spans="1:3" x14ac:dyDescent="0.35">
      <c r="A153">
        <v>45870</v>
      </c>
      <c r="B153">
        <v>23718</v>
      </c>
      <c r="C153">
        <v>1888</v>
      </c>
    </row>
    <row r="154" spans="1:3" x14ac:dyDescent="0.35">
      <c r="A154">
        <v>45873</v>
      </c>
      <c r="B154">
        <v>22072</v>
      </c>
      <c r="C154">
        <v>856.5</v>
      </c>
    </row>
    <row r="155" spans="1:3" x14ac:dyDescent="0.35">
      <c r="A155">
        <v>45874</v>
      </c>
      <c r="B155">
        <v>16810</v>
      </c>
      <c r="C155">
        <v>916.5</v>
      </c>
    </row>
    <row r="156" spans="1:3" x14ac:dyDescent="0.35">
      <c r="A156">
        <v>45875</v>
      </c>
      <c r="B156">
        <v>18845</v>
      </c>
      <c r="C156">
        <v>1157</v>
      </c>
    </row>
    <row r="157" spans="1:3" x14ac:dyDescent="0.35">
      <c r="A157">
        <v>45876</v>
      </c>
      <c r="B157">
        <v>16460</v>
      </c>
      <c r="C157">
        <v>1667</v>
      </c>
    </row>
    <row r="158" spans="1:3" x14ac:dyDescent="0.35">
      <c r="A158">
        <v>45877</v>
      </c>
      <c r="B158">
        <v>22504</v>
      </c>
      <c r="C158">
        <v>1035</v>
      </c>
    </row>
    <row r="159" spans="1:3" x14ac:dyDescent="0.35">
      <c r="A159">
        <v>45880</v>
      </c>
      <c r="B159">
        <v>12820</v>
      </c>
      <c r="C159">
        <v>1231</v>
      </c>
    </row>
    <row r="160" spans="1:3" x14ac:dyDescent="0.35">
      <c r="A160">
        <v>45881</v>
      </c>
      <c r="B160">
        <v>12955</v>
      </c>
      <c r="C160">
        <v>1692.8</v>
      </c>
    </row>
    <row r="161" spans="1:3" x14ac:dyDescent="0.35">
      <c r="A161">
        <v>45882</v>
      </c>
      <c r="B161">
        <v>11602</v>
      </c>
      <c r="C161">
        <v>812.5</v>
      </c>
    </row>
    <row r="162" spans="1:3" x14ac:dyDescent="0.35">
      <c r="A162">
        <v>45883</v>
      </c>
      <c r="B162">
        <v>16008</v>
      </c>
      <c r="C162">
        <v>1135</v>
      </c>
    </row>
    <row r="163" spans="1:3" x14ac:dyDescent="0.35">
      <c r="A163">
        <v>45884</v>
      </c>
      <c r="B163">
        <v>23269</v>
      </c>
      <c r="C163">
        <v>1444</v>
      </c>
    </row>
    <row r="164" spans="1:3" x14ac:dyDescent="0.35">
      <c r="A164">
        <v>45887</v>
      </c>
      <c r="B164">
        <v>14217.5</v>
      </c>
      <c r="C164">
        <v>1501.5</v>
      </c>
    </row>
    <row r="165" spans="1:3" x14ac:dyDescent="0.35">
      <c r="A165">
        <v>45888</v>
      </c>
      <c r="B165">
        <v>14475</v>
      </c>
      <c r="C165">
        <v>662</v>
      </c>
    </row>
    <row r="166" spans="1:3" x14ac:dyDescent="0.35">
      <c r="A166">
        <v>45889</v>
      </c>
      <c r="B166">
        <v>10201</v>
      </c>
      <c r="C166">
        <v>708</v>
      </c>
    </row>
    <row r="167" spans="1:3" x14ac:dyDescent="0.35">
      <c r="A167">
        <v>45890</v>
      </c>
      <c r="B167">
        <v>9600</v>
      </c>
      <c r="C167">
        <v>950.5</v>
      </c>
    </row>
    <row r="168" spans="1:3" x14ac:dyDescent="0.35">
      <c r="A168">
        <v>45891</v>
      </c>
      <c r="B168">
        <v>15782</v>
      </c>
      <c r="C168">
        <v>958</v>
      </c>
    </row>
    <row r="169" spans="1:3" x14ac:dyDescent="0.35">
      <c r="A169">
        <v>45894</v>
      </c>
      <c r="B169">
        <v>20190</v>
      </c>
      <c r="C169">
        <v>639</v>
      </c>
    </row>
    <row r="170" spans="1:3" x14ac:dyDescent="0.35">
      <c r="A170">
        <v>45895</v>
      </c>
      <c r="B170">
        <v>12530</v>
      </c>
      <c r="C170">
        <v>547</v>
      </c>
    </row>
    <row r="171" spans="1:3" x14ac:dyDescent="0.35">
      <c r="A171">
        <v>45896</v>
      </c>
      <c r="B171">
        <v>17314</v>
      </c>
      <c r="C171">
        <v>750</v>
      </c>
    </row>
    <row r="172" spans="1:3" x14ac:dyDescent="0.35">
      <c r="A172">
        <v>45897</v>
      </c>
      <c r="B172">
        <v>15950</v>
      </c>
      <c r="C172">
        <v>1077</v>
      </c>
    </row>
    <row r="173" spans="1:3" x14ac:dyDescent="0.35">
      <c r="A173">
        <v>45898</v>
      </c>
      <c r="B173">
        <v>19480</v>
      </c>
      <c r="C173">
        <v>950</v>
      </c>
    </row>
    <row r="174" spans="1:3" x14ac:dyDescent="0.35">
      <c r="A174">
        <v>45901</v>
      </c>
      <c r="B174">
        <v>9805</v>
      </c>
      <c r="C174">
        <v>662</v>
      </c>
    </row>
    <row r="175" spans="1:3" x14ac:dyDescent="0.35">
      <c r="A175">
        <v>45902</v>
      </c>
      <c r="B175">
        <v>1925</v>
      </c>
      <c r="C175">
        <v>772</v>
      </c>
    </row>
    <row r="176" spans="1:3" x14ac:dyDescent="0.35">
      <c r="A176">
        <v>45903</v>
      </c>
      <c r="B176">
        <v>14045</v>
      </c>
      <c r="C176">
        <v>1003.8</v>
      </c>
    </row>
    <row r="177" spans="1:3" x14ac:dyDescent="0.35">
      <c r="A177">
        <v>45904</v>
      </c>
      <c r="B177">
        <v>12595</v>
      </c>
      <c r="C177">
        <v>1202</v>
      </c>
    </row>
    <row r="178" spans="1:3" x14ac:dyDescent="0.35">
      <c r="A178">
        <v>45905</v>
      </c>
      <c r="B178">
        <v>30545</v>
      </c>
      <c r="C178">
        <v>1437</v>
      </c>
    </row>
    <row r="179" spans="1:3" x14ac:dyDescent="0.35">
      <c r="A179">
        <v>45908</v>
      </c>
      <c r="B179">
        <v>13550</v>
      </c>
      <c r="C179">
        <v>610</v>
      </c>
    </row>
    <row r="180" spans="1:3" x14ac:dyDescent="0.35">
      <c r="A180">
        <v>45909</v>
      </c>
      <c r="B180">
        <v>14770</v>
      </c>
      <c r="C180">
        <v>770</v>
      </c>
    </row>
    <row r="181" spans="1:3" x14ac:dyDescent="0.35">
      <c r="A181">
        <v>45910</v>
      </c>
      <c r="B181">
        <v>8507</v>
      </c>
      <c r="C181">
        <v>551</v>
      </c>
    </row>
    <row r="182" spans="1:3" x14ac:dyDescent="0.35">
      <c r="A182">
        <v>45911</v>
      </c>
      <c r="B182">
        <v>11250</v>
      </c>
      <c r="C182">
        <v>1173</v>
      </c>
    </row>
    <row r="183" spans="1:3" x14ac:dyDescent="0.35">
      <c r="A183">
        <v>45912</v>
      </c>
      <c r="B183">
        <v>24186</v>
      </c>
      <c r="C183">
        <v>786</v>
      </c>
    </row>
    <row r="184" spans="1:3" x14ac:dyDescent="0.35">
      <c r="A184">
        <v>45915</v>
      </c>
      <c r="B184">
        <v>11225</v>
      </c>
      <c r="C184">
        <v>809</v>
      </c>
    </row>
    <row r="185" spans="1:3" x14ac:dyDescent="0.35">
      <c r="A185">
        <v>45916</v>
      </c>
      <c r="B185">
        <v>10535</v>
      </c>
      <c r="C185">
        <v>529</v>
      </c>
    </row>
    <row r="186" spans="1:3" x14ac:dyDescent="0.35">
      <c r="A186">
        <v>45917</v>
      </c>
      <c r="B186">
        <v>15230</v>
      </c>
      <c r="C186">
        <v>797.5</v>
      </c>
    </row>
    <row r="187" spans="1:3" x14ac:dyDescent="0.35">
      <c r="A187">
        <v>45918</v>
      </c>
      <c r="B187">
        <v>9425</v>
      </c>
      <c r="C187">
        <v>527</v>
      </c>
    </row>
    <row r="188" spans="1:3" x14ac:dyDescent="0.35">
      <c r="A188">
        <v>45919</v>
      </c>
      <c r="B188">
        <v>18425</v>
      </c>
      <c r="C188">
        <v>370.5</v>
      </c>
    </row>
    <row r="189" spans="1:3" x14ac:dyDescent="0.35">
      <c r="A189">
        <v>45922</v>
      </c>
      <c r="B189">
        <v>19315</v>
      </c>
      <c r="C189">
        <v>795</v>
      </c>
    </row>
    <row r="190" spans="1:3" x14ac:dyDescent="0.35">
      <c r="A190">
        <v>45923</v>
      </c>
      <c r="B190">
        <v>15499</v>
      </c>
      <c r="C190">
        <v>595.5</v>
      </c>
    </row>
    <row r="191" spans="1:3" x14ac:dyDescent="0.35">
      <c r="A191">
        <v>45924</v>
      </c>
      <c r="B191">
        <v>15158</v>
      </c>
      <c r="C191">
        <v>470</v>
      </c>
    </row>
    <row r="192" spans="1:3" x14ac:dyDescent="0.35">
      <c r="A192">
        <v>45925</v>
      </c>
      <c r="B192">
        <v>10770</v>
      </c>
      <c r="C192">
        <v>1051.5</v>
      </c>
    </row>
    <row r="193" spans="1:3" x14ac:dyDescent="0.35">
      <c r="A193">
        <v>45926</v>
      </c>
      <c r="B193">
        <v>18335</v>
      </c>
      <c r="C193">
        <v>874</v>
      </c>
    </row>
    <row r="194" spans="1:3" x14ac:dyDescent="0.35">
      <c r="A194">
        <v>45929</v>
      </c>
      <c r="B194">
        <v>19135</v>
      </c>
      <c r="C194">
        <v>727.5</v>
      </c>
    </row>
    <row r="195" spans="1:3" x14ac:dyDescent="0.35">
      <c r="A195">
        <v>45930</v>
      </c>
      <c r="B195">
        <v>13940</v>
      </c>
      <c r="C195">
        <v>596</v>
      </c>
    </row>
    <row r="196" spans="1:3" x14ac:dyDescent="0.35">
      <c r="A196">
        <v>45931</v>
      </c>
      <c r="B196">
        <v>19520</v>
      </c>
      <c r="C196">
        <v>869.5</v>
      </c>
    </row>
    <row r="197" spans="1:3" x14ac:dyDescent="0.35">
      <c r="A197">
        <v>45932</v>
      </c>
      <c r="B197">
        <v>16485</v>
      </c>
      <c r="C197">
        <v>584</v>
      </c>
    </row>
    <row r="198" spans="1:3" x14ac:dyDescent="0.35">
      <c r="A198">
        <v>45933</v>
      </c>
      <c r="B198">
        <v>17990</v>
      </c>
      <c r="C198">
        <v>746</v>
      </c>
    </row>
    <row r="199" spans="1:3" x14ac:dyDescent="0.35">
      <c r="A199">
        <v>45936</v>
      </c>
      <c r="B199">
        <v>18305</v>
      </c>
      <c r="C199">
        <v>873</v>
      </c>
    </row>
    <row r="200" spans="1:3" x14ac:dyDescent="0.35">
      <c r="A200">
        <v>45937</v>
      </c>
      <c r="B200">
        <v>7955</v>
      </c>
      <c r="C200">
        <v>502</v>
      </c>
    </row>
    <row r="201" spans="1:3" x14ac:dyDescent="0.35">
      <c r="A201">
        <v>45938</v>
      </c>
      <c r="B201">
        <v>12145</v>
      </c>
      <c r="C201">
        <v>659.5</v>
      </c>
    </row>
    <row r="202" spans="1:3" x14ac:dyDescent="0.35">
      <c r="A202">
        <v>45939</v>
      </c>
      <c r="B202">
        <v>15195</v>
      </c>
      <c r="C202">
        <v>1359</v>
      </c>
    </row>
    <row r="203" spans="1:3" x14ac:dyDescent="0.35">
      <c r="A203">
        <v>45940</v>
      </c>
      <c r="B203">
        <v>23280</v>
      </c>
      <c r="C203">
        <v>626</v>
      </c>
    </row>
    <row r="204" spans="1:3" x14ac:dyDescent="0.35">
      <c r="A204">
        <v>45943</v>
      </c>
      <c r="B204">
        <v>15885</v>
      </c>
      <c r="C204">
        <v>601.5</v>
      </c>
    </row>
    <row r="205" spans="1:3" x14ac:dyDescent="0.35">
      <c r="A205">
        <v>45944</v>
      </c>
      <c r="B205">
        <v>11150</v>
      </c>
      <c r="C205">
        <v>896.1</v>
      </c>
    </row>
    <row r="206" spans="1:3" x14ac:dyDescent="0.35">
      <c r="A206">
        <v>45945</v>
      </c>
      <c r="B206">
        <v>14225</v>
      </c>
      <c r="C206">
        <v>1044.5</v>
      </c>
    </row>
    <row r="207" spans="1:3" x14ac:dyDescent="0.35">
      <c r="A207">
        <v>45946</v>
      </c>
      <c r="B207">
        <v>18350</v>
      </c>
      <c r="C207">
        <v>968</v>
      </c>
    </row>
    <row r="208" spans="1:3" x14ac:dyDescent="0.35">
      <c r="A208">
        <v>45947</v>
      </c>
      <c r="B208">
        <v>14445</v>
      </c>
      <c r="C208">
        <v>1686.5</v>
      </c>
    </row>
    <row r="209" spans="1:3" x14ac:dyDescent="0.35">
      <c r="A209">
        <v>45950</v>
      </c>
      <c r="B209">
        <v>15270</v>
      </c>
      <c r="C209">
        <v>843</v>
      </c>
    </row>
    <row r="210" spans="1:3" x14ac:dyDescent="0.35">
      <c r="A210">
        <v>45951</v>
      </c>
      <c r="B210">
        <v>13210</v>
      </c>
      <c r="C210">
        <v>647</v>
      </c>
    </row>
    <row r="211" spans="1:3" x14ac:dyDescent="0.35">
      <c r="A211">
        <v>45952</v>
      </c>
      <c r="B211">
        <v>13250</v>
      </c>
      <c r="C211">
        <v>380</v>
      </c>
    </row>
    <row r="212" spans="1:3" x14ac:dyDescent="0.35">
      <c r="A212">
        <v>45953</v>
      </c>
      <c r="B212">
        <v>14325</v>
      </c>
      <c r="C212">
        <v>696</v>
      </c>
    </row>
    <row r="213" spans="1:3" x14ac:dyDescent="0.35">
      <c r="A213">
        <v>45954</v>
      </c>
      <c r="B213">
        <v>20310</v>
      </c>
      <c r="C213">
        <v>1318.5</v>
      </c>
    </row>
    <row r="214" spans="1:3" x14ac:dyDescent="0.35">
      <c r="A214">
        <v>45957</v>
      </c>
      <c r="B214">
        <v>14830</v>
      </c>
      <c r="C214">
        <v>590</v>
      </c>
    </row>
    <row r="215" spans="1:3" x14ac:dyDescent="0.35">
      <c r="A215">
        <v>45958</v>
      </c>
      <c r="B215">
        <v>17935</v>
      </c>
      <c r="C215">
        <v>949</v>
      </c>
    </row>
    <row r="216" spans="1:3" x14ac:dyDescent="0.35">
      <c r="A216">
        <v>45959</v>
      </c>
      <c r="B216">
        <v>12020</v>
      </c>
      <c r="C216">
        <v>801</v>
      </c>
    </row>
    <row r="217" spans="1:3" x14ac:dyDescent="0.35">
      <c r="A217">
        <v>45960</v>
      </c>
      <c r="B217">
        <v>14195</v>
      </c>
      <c r="C217">
        <v>1413.5</v>
      </c>
    </row>
    <row r="218" spans="1:3" x14ac:dyDescent="0.35">
      <c r="A218">
        <v>45961</v>
      </c>
      <c r="B218">
        <v>24335</v>
      </c>
      <c r="C218">
        <v>1081.5</v>
      </c>
    </row>
    <row r="219" spans="1:3" x14ac:dyDescent="0.35">
      <c r="A219">
        <v>45964</v>
      </c>
      <c r="B219">
        <v>20395</v>
      </c>
      <c r="C219">
        <v>527</v>
      </c>
    </row>
    <row r="220" spans="1:3" x14ac:dyDescent="0.35">
      <c r="A220">
        <v>45965</v>
      </c>
      <c r="B220">
        <v>17470</v>
      </c>
      <c r="C220">
        <v>1258</v>
      </c>
    </row>
    <row r="221" spans="1:3" x14ac:dyDescent="0.35">
      <c r="A221">
        <v>45966</v>
      </c>
      <c r="B221">
        <v>15900</v>
      </c>
      <c r="C221">
        <v>769</v>
      </c>
    </row>
    <row r="222" spans="1:3" x14ac:dyDescent="0.35">
      <c r="A222">
        <v>45967</v>
      </c>
      <c r="B222">
        <v>17040</v>
      </c>
      <c r="C222">
        <v>1097</v>
      </c>
    </row>
    <row r="223" spans="1:3" x14ac:dyDescent="0.35">
      <c r="A223">
        <v>45968</v>
      </c>
      <c r="B223">
        <v>20505</v>
      </c>
      <c r="C223">
        <v>1158</v>
      </c>
    </row>
    <row r="224" spans="1:3" x14ac:dyDescent="0.35">
      <c r="A224">
        <v>45971</v>
      </c>
      <c r="B224">
        <v>17835</v>
      </c>
      <c r="C224">
        <v>1032</v>
      </c>
    </row>
    <row r="225" spans="1:3" x14ac:dyDescent="0.35">
      <c r="A225">
        <v>45972</v>
      </c>
      <c r="B225">
        <v>18880</v>
      </c>
      <c r="C225">
        <v>799</v>
      </c>
    </row>
    <row r="226" spans="1:3" x14ac:dyDescent="0.35">
      <c r="A226">
        <v>45973</v>
      </c>
      <c r="B226">
        <v>17470</v>
      </c>
      <c r="C226">
        <v>990.6</v>
      </c>
    </row>
    <row r="227" spans="1:3" x14ac:dyDescent="0.35">
      <c r="A227">
        <v>45974</v>
      </c>
      <c r="B227">
        <v>13655</v>
      </c>
      <c r="C227">
        <v>1168.5</v>
      </c>
    </row>
    <row r="228" spans="1:3" x14ac:dyDescent="0.35">
      <c r="A228">
        <v>45975</v>
      </c>
      <c r="B228">
        <v>20790</v>
      </c>
      <c r="C228">
        <v>933</v>
      </c>
    </row>
    <row r="229" spans="1:3" x14ac:dyDescent="0.35">
      <c r="A229">
        <v>45978</v>
      </c>
      <c r="B229">
        <v>17241</v>
      </c>
      <c r="C229">
        <v>1197</v>
      </c>
    </row>
    <row r="230" spans="1:3" x14ac:dyDescent="0.35">
      <c r="A230">
        <v>45979</v>
      </c>
      <c r="B230">
        <v>18615</v>
      </c>
      <c r="C230">
        <v>1202</v>
      </c>
    </row>
    <row r="231" spans="1:3" x14ac:dyDescent="0.35">
      <c r="A231">
        <v>45980</v>
      </c>
      <c r="B231">
        <v>22090</v>
      </c>
      <c r="C231">
        <v>2050</v>
      </c>
    </row>
    <row r="232" spans="1:3" x14ac:dyDescent="0.35">
      <c r="A232">
        <v>45981</v>
      </c>
      <c r="B232">
        <v>11255</v>
      </c>
      <c r="C232">
        <v>1058</v>
      </c>
    </row>
    <row r="233" spans="1:3" x14ac:dyDescent="0.35">
      <c r="A233">
        <v>45982</v>
      </c>
      <c r="B233">
        <v>20590</v>
      </c>
      <c r="C233">
        <v>1144</v>
      </c>
    </row>
    <row r="234" spans="1:3" x14ac:dyDescent="0.35">
      <c r="A234">
        <v>45985</v>
      </c>
      <c r="B234">
        <v>15160</v>
      </c>
      <c r="C234">
        <v>728</v>
      </c>
    </row>
    <row r="235" spans="1:3" x14ac:dyDescent="0.35">
      <c r="A235">
        <v>45986</v>
      </c>
      <c r="B235">
        <v>16800</v>
      </c>
      <c r="C235">
        <v>491</v>
      </c>
    </row>
    <row r="236" spans="1:3" x14ac:dyDescent="0.35">
      <c r="A236">
        <v>45987</v>
      </c>
      <c r="B236">
        <v>18025</v>
      </c>
      <c r="C236">
        <v>1421</v>
      </c>
    </row>
    <row r="237" spans="1:3" x14ac:dyDescent="0.35">
      <c r="A237">
        <v>45988</v>
      </c>
      <c r="B237">
        <v>15890</v>
      </c>
      <c r="C237">
        <v>853</v>
      </c>
    </row>
    <row r="238" spans="1:3" x14ac:dyDescent="0.35">
      <c r="A238">
        <v>45989</v>
      </c>
      <c r="B238">
        <v>30115</v>
      </c>
      <c r="C238">
        <v>1560.5</v>
      </c>
    </row>
    <row r="239" spans="1:3" x14ac:dyDescent="0.35">
      <c r="A239">
        <v>45992</v>
      </c>
      <c r="B239">
        <v>18455</v>
      </c>
      <c r="C239">
        <v>1174</v>
      </c>
    </row>
    <row r="240" spans="1:3" x14ac:dyDescent="0.35">
      <c r="A240">
        <v>45993</v>
      </c>
      <c r="B240">
        <v>17250</v>
      </c>
      <c r="C240">
        <v>1018.5</v>
      </c>
    </row>
    <row r="241" spans="1:3" x14ac:dyDescent="0.35">
      <c r="A241">
        <v>45994</v>
      </c>
      <c r="B241">
        <v>21675</v>
      </c>
      <c r="C241">
        <v>874</v>
      </c>
    </row>
    <row r="242" spans="1:3" x14ac:dyDescent="0.35">
      <c r="A242">
        <v>45995</v>
      </c>
      <c r="B242">
        <v>16360</v>
      </c>
      <c r="C242">
        <v>1237.5</v>
      </c>
    </row>
    <row r="243" spans="1:3" x14ac:dyDescent="0.35">
      <c r="A243">
        <v>45996</v>
      </c>
      <c r="B243">
        <v>23425</v>
      </c>
      <c r="C243">
        <v>938</v>
      </c>
    </row>
    <row r="244" spans="1:3" x14ac:dyDescent="0.35">
      <c r="A244">
        <v>45999</v>
      </c>
      <c r="B244">
        <v>18978</v>
      </c>
      <c r="C244">
        <v>855</v>
      </c>
    </row>
    <row r="245" spans="1:3" x14ac:dyDescent="0.35">
      <c r="A245">
        <v>46000</v>
      </c>
      <c r="B245">
        <v>20830</v>
      </c>
      <c r="C245">
        <v>288</v>
      </c>
    </row>
    <row r="246" spans="1:3" x14ac:dyDescent="0.35">
      <c r="A246">
        <v>46001</v>
      </c>
      <c r="B246">
        <v>15370</v>
      </c>
      <c r="C246">
        <v>369</v>
      </c>
    </row>
    <row r="247" spans="1:3" x14ac:dyDescent="0.35">
      <c r="A247">
        <v>46002</v>
      </c>
      <c r="B247">
        <v>16835</v>
      </c>
      <c r="C247">
        <v>1249.5</v>
      </c>
    </row>
    <row r="248" spans="1:3" x14ac:dyDescent="0.35">
      <c r="A248">
        <v>46003</v>
      </c>
      <c r="B248">
        <v>17335</v>
      </c>
      <c r="C248">
        <v>1940.4</v>
      </c>
    </row>
    <row r="249" spans="1:3" x14ac:dyDescent="0.35">
      <c r="A249">
        <v>46006</v>
      </c>
      <c r="B249">
        <v>20035</v>
      </c>
      <c r="C249">
        <v>1053.5</v>
      </c>
    </row>
    <row r="250" spans="1:3" x14ac:dyDescent="0.35">
      <c r="A250">
        <v>46007</v>
      </c>
      <c r="B250">
        <v>18525</v>
      </c>
      <c r="C250">
        <v>1157</v>
      </c>
    </row>
    <row r="251" spans="1:3" x14ac:dyDescent="0.35">
      <c r="A251">
        <v>46008</v>
      </c>
      <c r="B251">
        <v>10310</v>
      </c>
      <c r="C251">
        <v>1009</v>
      </c>
    </row>
    <row r="252" spans="1:3" x14ac:dyDescent="0.35">
      <c r="A252">
        <v>46009</v>
      </c>
      <c r="B252">
        <v>12055</v>
      </c>
      <c r="C252">
        <v>873.5</v>
      </c>
    </row>
    <row r="253" spans="1:3" x14ac:dyDescent="0.35">
      <c r="A253">
        <v>46010</v>
      </c>
      <c r="B253">
        <v>19880</v>
      </c>
      <c r="C253">
        <v>691</v>
      </c>
    </row>
    <row r="254" spans="1:3" x14ac:dyDescent="0.35">
      <c r="A254">
        <v>46013</v>
      </c>
      <c r="B254">
        <v>16915</v>
      </c>
      <c r="C254">
        <v>409</v>
      </c>
    </row>
    <row r="255" spans="1:3" x14ac:dyDescent="0.35">
      <c r="A255">
        <v>46014</v>
      </c>
      <c r="B255">
        <v>12385</v>
      </c>
      <c r="C255">
        <v>437</v>
      </c>
    </row>
    <row r="256" spans="1:3" x14ac:dyDescent="0.35">
      <c r="A256">
        <v>46015</v>
      </c>
      <c r="B256">
        <v>26735</v>
      </c>
      <c r="C256">
        <v>632</v>
      </c>
    </row>
    <row r="257" spans="1:3" x14ac:dyDescent="0.35">
      <c r="A257">
        <v>46020</v>
      </c>
      <c r="B257">
        <v>16950</v>
      </c>
      <c r="C257">
        <v>748</v>
      </c>
    </row>
    <row r="258" spans="1:3" x14ac:dyDescent="0.35">
      <c r="A258">
        <v>46021</v>
      </c>
      <c r="B258">
        <v>1720</v>
      </c>
      <c r="C258">
        <v>926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0D935F-324D-4885-83C3-E05E8F5560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Raw_Data</vt:lpstr>
      <vt:lpstr>Clean Data</vt:lpstr>
      <vt:lpstr>Monthly_Summary</vt:lpstr>
      <vt:lpstr>Weekday_Analysis</vt:lpstr>
      <vt:lpstr>Calendar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Griffin</dc:creator>
  <cp:lastModifiedBy>Marian Griffin</cp:lastModifiedBy>
  <dcterms:created xsi:type="dcterms:W3CDTF">2026-05-20T19:13:39Z</dcterms:created>
  <dcterms:modified xsi:type="dcterms:W3CDTF">2026-06-19T22:48:13Z</dcterms:modified>
</cp:coreProperties>
</file>